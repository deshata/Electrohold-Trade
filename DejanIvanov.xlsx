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eyanIvanov\Downloads\"/>
    </mc:Choice>
  </mc:AlternateContent>
  <xr:revisionPtr revIDLastSave="0" documentId="13_ncr:1_{B8B8C2E7-D3C4-42C7-B58E-4C30ECA3475F}" xr6:coauthVersionLast="47" xr6:coauthVersionMax="47" xr10:uidLastSave="{00000000-0000-0000-0000-000000000000}"/>
  <bookViews>
    <workbookView xWindow="14715" yWindow="-16320" windowWidth="29040" windowHeight="15720" activeTab="1" xr2:uid="{00000000-000D-0000-FFFF-FFFF00000000}"/>
  </bookViews>
  <sheets>
    <sheet name="BidScale" sheetId="2" r:id="rId1"/>
    <sheet name="Calc" sheetId="3" r:id="rId2"/>
  </sheets>
  <definedNames>
    <definedName name="Cand">Calc!$A$2:$L$97</definedName>
    <definedName name="Lower">Calc!$N$2</definedName>
    <definedName name="Upper">Calc!$O$2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B2" i="3"/>
  <c r="A97" i="3"/>
  <c r="C2" i="3"/>
  <c r="D2" i="3"/>
  <c r="E2" i="3"/>
  <c r="F2" i="3"/>
  <c r="G2" i="3"/>
  <c r="H2" i="3"/>
  <c r="I2" i="3"/>
  <c r="J2" i="3"/>
  <c r="K2" i="3"/>
  <c r="L2" i="3"/>
  <c r="J6" i="3"/>
  <c r="J7" i="3"/>
  <c r="J8" i="3"/>
  <c r="J9" i="3"/>
  <c r="J10" i="3"/>
  <c r="J11" i="3"/>
  <c r="J12" i="3"/>
  <c r="J13" i="3"/>
  <c r="J14" i="3"/>
  <c r="J5" i="3"/>
  <c r="L97" i="3"/>
  <c r="K97" i="3"/>
  <c r="J97" i="3"/>
  <c r="I97" i="3"/>
  <c r="H97" i="3"/>
  <c r="G97" i="3"/>
  <c r="F97" i="3"/>
  <c r="E97" i="3"/>
  <c r="D97" i="3"/>
  <c r="C97" i="3"/>
  <c r="B97" i="3"/>
  <c r="L96" i="3"/>
  <c r="K96" i="3"/>
  <c r="J96" i="3"/>
  <c r="I96" i="3"/>
  <c r="H96" i="3"/>
  <c r="G96" i="3"/>
  <c r="F96" i="3"/>
  <c r="E96" i="3"/>
  <c r="D96" i="3"/>
  <c r="C96" i="3"/>
  <c r="B96" i="3"/>
  <c r="L95" i="3"/>
  <c r="K95" i="3"/>
  <c r="J95" i="3"/>
  <c r="I95" i="3"/>
  <c r="H95" i="3"/>
  <c r="G95" i="3"/>
  <c r="F95" i="3"/>
  <c r="E95" i="3"/>
  <c r="D95" i="3"/>
  <c r="C95" i="3"/>
  <c r="B95" i="3"/>
  <c r="L94" i="3"/>
  <c r="K94" i="3"/>
  <c r="J94" i="3"/>
  <c r="I94" i="3"/>
  <c r="H94" i="3"/>
  <c r="G94" i="3"/>
  <c r="F94" i="3"/>
  <c r="E94" i="3"/>
  <c r="D94" i="3"/>
  <c r="C94" i="3"/>
  <c r="B94" i="3"/>
  <c r="L93" i="3"/>
  <c r="K93" i="3"/>
  <c r="J93" i="3"/>
  <c r="I93" i="3"/>
  <c r="H93" i="3"/>
  <c r="G93" i="3"/>
  <c r="F93" i="3"/>
  <c r="E93" i="3"/>
  <c r="D93" i="3"/>
  <c r="C93" i="3"/>
  <c r="B93" i="3"/>
  <c r="L92" i="3"/>
  <c r="K92" i="3"/>
  <c r="J92" i="3"/>
  <c r="I92" i="3"/>
  <c r="H92" i="3"/>
  <c r="G92" i="3"/>
  <c r="F92" i="3"/>
  <c r="E92" i="3"/>
  <c r="D92" i="3"/>
  <c r="C92" i="3"/>
  <c r="B92" i="3"/>
  <c r="L91" i="3"/>
  <c r="K91" i="3"/>
  <c r="J91" i="3"/>
  <c r="I91" i="3"/>
  <c r="H91" i="3"/>
  <c r="G91" i="3"/>
  <c r="F91" i="3"/>
  <c r="E91" i="3"/>
  <c r="D91" i="3"/>
  <c r="C91" i="3"/>
  <c r="B91" i="3"/>
  <c r="L90" i="3"/>
  <c r="K90" i="3"/>
  <c r="J90" i="3"/>
  <c r="I90" i="3"/>
  <c r="H90" i="3"/>
  <c r="G90" i="3"/>
  <c r="F90" i="3"/>
  <c r="E90" i="3"/>
  <c r="D90" i="3"/>
  <c r="C90" i="3"/>
  <c r="B90" i="3"/>
  <c r="L89" i="3"/>
  <c r="K89" i="3"/>
  <c r="J89" i="3"/>
  <c r="I89" i="3"/>
  <c r="H89" i="3"/>
  <c r="G89" i="3"/>
  <c r="F89" i="3"/>
  <c r="E89" i="3"/>
  <c r="D89" i="3"/>
  <c r="C89" i="3"/>
  <c r="B89" i="3"/>
  <c r="L88" i="3"/>
  <c r="K88" i="3"/>
  <c r="J88" i="3"/>
  <c r="I88" i="3"/>
  <c r="H88" i="3"/>
  <c r="G88" i="3"/>
  <c r="F88" i="3"/>
  <c r="E88" i="3"/>
  <c r="D88" i="3"/>
  <c r="C88" i="3"/>
  <c r="B88" i="3"/>
  <c r="L87" i="3"/>
  <c r="K87" i="3"/>
  <c r="J87" i="3"/>
  <c r="I87" i="3"/>
  <c r="H87" i="3"/>
  <c r="G87" i="3"/>
  <c r="F87" i="3"/>
  <c r="E87" i="3"/>
  <c r="D87" i="3"/>
  <c r="C87" i="3"/>
  <c r="B87" i="3"/>
  <c r="L86" i="3"/>
  <c r="K86" i="3"/>
  <c r="J86" i="3"/>
  <c r="I86" i="3"/>
  <c r="H86" i="3"/>
  <c r="G86" i="3"/>
  <c r="F86" i="3"/>
  <c r="E86" i="3"/>
  <c r="D86" i="3"/>
  <c r="C86" i="3"/>
  <c r="B86" i="3"/>
  <c r="L85" i="3"/>
  <c r="K85" i="3"/>
  <c r="J85" i="3"/>
  <c r="I85" i="3"/>
  <c r="H85" i="3"/>
  <c r="G85" i="3"/>
  <c r="F85" i="3"/>
  <c r="E85" i="3"/>
  <c r="D85" i="3"/>
  <c r="C85" i="3"/>
  <c r="B85" i="3"/>
  <c r="L84" i="3"/>
  <c r="K84" i="3"/>
  <c r="J84" i="3"/>
  <c r="I84" i="3"/>
  <c r="H84" i="3"/>
  <c r="G84" i="3"/>
  <c r="F84" i="3"/>
  <c r="E84" i="3"/>
  <c r="D84" i="3"/>
  <c r="C84" i="3"/>
  <c r="B84" i="3"/>
  <c r="L83" i="3"/>
  <c r="K83" i="3"/>
  <c r="J83" i="3"/>
  <c r="I83" i="3"/>
  <c r="H83" i="3"/>
  <c r="G83" i="3"/>
  <c r="F83" i="3"/>
  <c r="E83" i="3"/>
  <c r="D83" i="3"/>
  <c r="C83" i="3"/>
  <c r="B83" i="3"/>
  <c r="L82" i="3"/>
  <c r="K82" i="3"/>
  <c r="J82" i="3"/>
  <c r="I82" i="3"/>
  <c r="H82" i="3"/>
  <c r="G82" i="3"/>
  <c r="F82" i="3"/>
  <c r="E82" i="3"/>
  <c r="D82" i="3"/>
  <c r="C82" i="3"/>
  <c r="B82" i="3"/>
  <c r="L81" i="3"/>
  <c r="K81" i="3"/>
  <c r="J81" i="3"/>
  <c r="I81" i="3"/>
  <c r="H81" i="3"/>
  <c r="G81" i="3"/>
  <c r="F81" i="3"/>
  <c r="E81" i="3"/>
  <c r="D81" i="3"/>
  <c r="C81" i="3"/>
  <c r="B81" i="3"/>
  <c r="L80" i="3"/>
  <c r="K80" i="3"/>
  <c r="J80" i="3"/>
  <c r="I80" i="3"/>
  <c r="H80" i="3"/>
  <c r="G80" i="3"/>
  <c r="F80" i="3"/>
  <c r="E80" i="3"/>
  <c r="D80" i="3"/>
  <c r="C80" i="3"/>
  <c r="B80" i="3"/>
  <c r="L79" i="3"/>
  <c r="K79" i="3"/>
  <c r="J79" i="3"/>
  <c r="I79" i="3"/>
  <c r="H79" i="3"/>
  <c r="G79" i="3"/>
  <c r="F79" i="3"/>
  <c r="E79" i="3"/>
  <c r="D79" i="3"/>
  <c r="C79" i="3"/>
  <c r="B79" i="3"/>
  <c r="L78" i="3"/>
  <c r="K78" i="3"/>
  <c r="J78" i="3"/>
  <c r="I78" i="3"/>
  <c r="H78" i="3"/>
  <c r="G78" i="3"/>
  <c r="F78" i="3"/>
  <c r="E78" i="3"/>
  <c r="D78" i="3"/>
  <c r="C78" i="3"/>
  <c r="B78" i="3"/>
  <c r="L77" i="3"/>
  <c r="K77" i="3"/>
  <c r="J77" i="3"/>
  <c r="I77" i="3"/>
  <c r="H77" i="3"/>
  <c r="G77" i="3"/>
  <c r="F77" i="3"/>
  <c r="E77" i="3"/>
  <c r="D77" i="3"/>
  <c r="C77" i="3"/>
  <c r="B77" i="3"/>
  <c r="L76" i="3"/>
  <c r="K76" i="3"/>
  <c r="J76" i="3"/>
  <c r="I76" i="3"/>
  <c r="H76" i="3"/>
  <c r="G76" i="3"/>
  <c r="F76" i="3"/>
  <c r="E76" i="3"/>
  <c r="D76" i="3"/>
  <c r="C76" i="3"/>
  <c r="B76" i="3"/>
  <c r="L75" i="3"/>
  <c r="K75" i="3"/>
  <c r="J75" i="3"/>
  <c r="I75" i="3"/>
  <c r="H75" i="3"/>
  <c r="G75" i="3"/>
  <c r="F75" i="3"/>
  <c r="E75" i="3"/>
  <c r="D75" i="3"/>
  <c r="C75" i="3"/>
  <c r="B75" i="3"/>
  <c r="L74" i="3"/>
  <c r="K74" i="3"/>
  <c r="J74" i="3"/>
  <c r="I74" i="3"/>
  <c r="H74" i="3"/>
  <c r="G74" i="3"/>
  <c r="F74" i="3"/>
  <c r="E74" i="3"/>
  <c r="D74" i="3"/>
  <c r="C74" i="3"/>
  <c r="B74" i="3"/>
  <c r="L73" i="3"/>
  <c r="K73" i="3"/>
  <c r="J73" i="3"/>
  <c r="I73" i="3"/>
  <c r="H73" i="3"/>
  <c r="G73" i="3"/>
  <c r="F73" i="3"/>
  <c r="E73" i="3"/>
  <c r="D73" i="3"/>
  <c r="C73" i="3"/>
  <c r="B73" i="3"/>
  <c r="L72" i="3"/>
  <c r="K72" i="3"/>
  <c r="J72" i="3"/>
  <c r="I72" i="3"/>
  <c r="H72" i="3"/>
  <c r="G72" i="3"/>
  <c r="F72" i="3"/>
  <c r="E72" i="3"/>
  <c r="D72" i="3"/>
  <c r="C72" i="3"/>
  <c r="B72" i="3"/>
  <c r="L71" i="3"/>
  <c r="K71" i="3"/>
  <c r="J71" i="3"/>
  <c r="I71" i="3"/>
  <c r="H71" i="3"/>
  <c r="G71" i="3"/>
  <c r="F71" i="3"/>
  <c r="E71" i="3"/>
  <c r="D71" i="3"/>
  <c r="C71" i="3"/>
  <c r="B71" i="3"/>
  <c r="L70" i="3"/>
  <c r="K70" i="3"/>
  <c r="J70" i="3"/>
  <c r="I70" i="3"/>
  <c r="H70" i="3"/>
  <c r="G70" i="3"/>
  <c r="F70" i="3"/>
  <c r="E70" i="3"/>
  <c r="D70" i="3"/>
  <c r="C70" i="3"/>
  <c r="B70" i="3"/>
  <c r="L69" i="3"/>
  <c r="K69" i="3"/>
  <c r="J69" i="3"/>
  <c r="I69" i="3"/>
  <c r="H69" i="3"/>
  <c r="G69" i="3"/>
  <c r="F69" i="3"/>
  <c r="E69" i="3"/>
  <c r="D69" i="3"/>
  <c r="C69" i="3"/>
  <c r="B69" i="3"/>
  <c r="L68" i="3"/>
  <c r="K68" i="3"/>
  <c r="J68" i="3"/>
  <c r="I68" i="3"/>
  <c r="H68" i="3"/>
  <c r="G68" i="3"/>
  <c r="F68" i="3"/>
  <c r="E68" i="3"/>
  <c r="D68" i="3"/>
  <c r="C68" i="3"/>
  <c r="B68" i="3"/>
  <c r="L67" i="3"/>
  <c r="K67" i="3"/>
  <c r="J67" i="3"/>
  <c r="I67" i="3"/>
  <c r="H67" i="3"/>
  <c r="G67" i="3"/>
  <c r="F67" i="3"/>
  <c r="E67" i="3"/>
  <c r="D67" i="3"/>
  <c r="C67" i="3"/>
  <c r="B67" i="3"/>
  <c r="L66" i="3"/>
  <c r="K66" i="3"/>
  <c r="J66" i="3"/>
  <c r="I66" i="3"/>
  <c r="H66" i="3"/>
  <c r="G66" i="3"/>
  <c r="F66" i="3"/>
  <c r="E66" i="3"/>
  <c r="D66" i="3"/>
  <c r="C66" i="3"/>
  <c r="B66" i="3"/>
  <c r="L65" i="3"/>
  <c r="K65" i="3"/>
  <c r="J65" i="3"/>
  <c r="I65" i="3"/>
  <c r="H65" i="3"/>
  <c r="G65" i="3"/>
  <c r="F65" i="3"/>
  <c r="E65" i="3"/>
  <c r="D65" i="3"/>
  <c r="C65" i="3"/>
  <c r="B65" i="3"/>
  <c r="L64" i="3"/>
  <c r="K64" i="3"/>
  <c r="J64" i="3"/>
  <c r="I64" i="3"/>
  <c r="H64" i="3"/>
  <c r="G64" i="3"/>
  <c r="F64" i="3"/>
  <c r="E64" i="3"/>
  <c r="D64" i="3"/>
  <c r="C64" i="3"/>
  <c r="B64" i="3"/>
  <c r="L63" i="3"/>
  <c r="K63" i="3"/>
  <c r="J63" i="3"/>
  <c r="I63" i="3"/>
  <c r="H63" i="3"/>
  <c r="G63" i="3"/>
  <c r="F63" i="3"/>
  <c r="E63" i="3"/>
  <c r="D63" i="3"/>
  <c r="C63" i="3"/>
  <c r="B63" i="3"/>
  <c r="L62" i="3"/>
  <c r="K62" i="3"/>
  <c r="J62" i="3"/>
  <c r="I62" i="3"/>
  <c r="H62" i="3"/>
  <c r="G62" i="3"/>
  <c r="F62" i="3"/>
  <c r="E62" i="3"/>
  <c r="D62" i="3"/>
  <c r="C62" i="3"/>
  <c r="B62" i="3"/>
  <c r="L61" i="3"/>
  <c r="K61" i="3"/>
  <c r="J61" i="3"/>
  <c r="I61" i="3"/>
  <c r="H61" i="3"/>
  <c r="G61" i="3"/>
  <c r="F61" i="3"/>
  <c r="E61" i="3"/>
  <c r="D61" i="3"/>
  <c r="C61" i="3"/>
  <c r="B61" i="3"/>
  <c r="L60" i="3"/>
  <c r="K60" i="3"/>
  <c r="J60" i="3"/>
  <c r="I60" i="3"/>
  <c r="H60" i="3"/>
  <c r="G60" i="3"/>
  <c r="F60" i="3"/>
  <c r="E60" i="3"/>
  <c r="D60" i="3"/>
  <c r="C60" i="3"/>
  <c r="B60" i="3"/>
  <c r="L59" i="3"/>
  <c r="K59" i="3"/>
  <c r="J59" i="3"/>
  <c r="I59" i="3"/>
  <c r="H59" i="3"/>
  <c r="G59" i="3"/>
  <c r="F59" i="3"/>
  <c r="E59" i="3"/>
  <c r="D59" i="3"/>
  <c r="C59" i="3"/>
  <c r="B59" i="3"/>
  <c r="L58" i="3"/>
  <c r="K58" i="3"/>
  <c r="J58" i="3"/>
  <c r="I58" i="3"/>
  <c r="H58" i="3"/>
  <c r="G58" i="3"/>
  <c r="F58" i="3"/>
  <c r="E58" i="3"/>
  <c r="D58" i="3"/>
  <c r="C58" i="3"/>
  <c r="B58" i="3"/>
  <c r="L57" i="3"/>
  <c r="K57" i="3"/>
  <c r="J57" i="3"/>
  <c r="I57" i="3"/>
  <c r="H57" i="3"/>
  <c r="G57" i="3"/>
  <c r="F57" i="3"/>
  <c r="E57" i="3"/>
  <c r="D57" i="3"/>
  <c r="C57" i="3"/>
  <c r="B57" i="3"/>
  <c r="L56" i="3"/>
  <c r="K56" i="3"/>
  <c r="J56" i="3"/>
  <c r="I56" i="3"/>
  <c r="H56" i="3"/>
  <c r="G56" i="3"/>
  <c r="F56" i="3"/>
  <c r="E56" i="3"/>
  <c r="D56" i="3"/>
  <c r="C56" i="3"/>
  <c r="B56" i="3"/>
  <c r="L55" i="3"/>
  <c r="K55" i="3"/>
  <c r="J55" i="3"/>
  <c r="I55" i="3"/>
  <c r="H55" i="3"/>
  <c r="G55" i="3"/>
  <c r="F55" i="3"/>
  <c r="E55" i="3"/>
  <c r="D55" i="3"/>
  <c r="C55" i="3"/>
  <c r="B55" i="3"/>
  <c r="L54" i="3"/>
  <c r="K54" i="3"/>
  <c r="J54" i="3"/>
  <c r="I54" i="3"/>
  <c r="H54" i="3"/>
  <c r="G54" i="3"/>
  <c r="F54" i="3"/>
  <c r="E54" i="3"/>
  <c r="D54" i="3"/>
  <c r="C54" i="3"/>
  <c r="B54" i="3"/>
  <c r="L53" i="3"/>
  <c r="K53" i="3"/>
  <c r="J53" i="3"/>
  <c r="I53" i="3"/>
  <c r="H53" i="3"/>
  <c r="G53" i="3"/>
  <c r="F53" i="3"/>
  <c r="E53" i="3"/>
  <c r="D53" i="3"/>
  <c r="C53" i="3"/>
  <c r="B53" i="3"/>
  <c r="L52" i="3"/>
  <c r="K52" i="3"/>
  <c r="J52" i="3"/>
  <c r="I52" i="3"/>
  <c r="H52" i="3"/>
  <c r="G52" i="3"/>
  <c r="F52" i="3"/>
  <c r="E52" i="3"/>
  <c r="D52" i="3"/>
  <c r="C52" i="3"/>
  <c r="B52" i="3"/>
  <c r="L51" i="3"/>
  <c r="K51" i="3"/>
  <c r="J51" i="3"/>
  <c r="I51" i="3"/>
  <c r="H51" i="3"/>
  <c r="G51" i="3"/>
  <c r="F51" i="3"/>
  <c r="E51" i="3"/>
  <c r="D51" i="3"/>
  <c r="C51" i="3"/>
  <c r="B51" i="3"/>
  <c r="L50" i="3"/>
  <c r="K50" i="3"/>
  <c r="J50" i="3"/>
  <c r="I50" i="3"/>
  <c r="H50" i="3"/>
  <c r="G50" i="3"/>
  <c r="F50" i="3"/>
  <c r="E50" i="3"/>
  <c r="D50" i="3"/>
  <c r="C50" i="3"/>
  <c r="B50" i="3"/>
  <c r="L49" i="3"/>
  <c r="K49" i="3"/>
  <c r="J49" i="3"/>
  <c r="I49" i="3"/>
  <c r="H49" i="3"/>
  <c r="G49" i="3"/>
  <c r="F49" i="3"/>
  <c r="E49" i="3"/>
  <c r="D49" i="3"/>
  <c r="C49" i="3"/>
  <c r="B49" i="3"/>
  <c r="L48" i="3"/>
  <c r="K48" i="3"/>
  <c r="J48" i="3"/>
  <c r="I48" i="3"/>
  <c r="H48" i="3"/>
  <c r="G48" i="3"/>
  <c r="F48" i="3"/>
  <c r="E48" i="3"/>
  <c r="D48" i="3"/>
  <c r="C48" i="3"/>
  <c r="B48" i="3"/>
  <c r="L47" i="3"/>
  <c r="K47" i="3"/>
  <c r="J47" i="3"/>
  <c r="I47" i="3"/>
  <c r="H47" i="3"/>
  <c r="G47" i="3"/>
  <c r="F47" i="3"/>
  <c r="E47" i="3"/>
  <c r="D47" i="3"/>
  <c r="C47" i="3"/>
  <c r="B47" i="3"/>
  <c r="L46" i="3"/>
  <c r="K46" i="3"/>
  <c r="J46" i="3"/>
  <c r="I46" i="3"/>
  <c r="H46" i="3"/>
  <c r="G46" i="3"/>
  <c r="F46" i="3"/>
  <c r="E46" i="3"/>
  <c r="D46" i="3"/>
  <c r="C46" i="3"/>
  <c r="B46" i="3"/>
  <c r="L45" i="3"/>
  <c r="K45" i="3"/>
  <c r="J45" i="3"/>
  <c r="I45" i="3"/>
  <c r="H45" i="3"/>
  <c r="G45" i="3"/>
  <c r="F45" i="3"/>
  <c r="E45" i="3"/>
  <c r="D45" i="3"/>
  <c r="C45" i="3"/>
  <c r="B45" i="3"/>
  <c r="L44" i="3"/>
  <c r="K44" i="3"/>
  <c r="J44" i="3"/>
  <c r="I44" i="3"/>
  <c r="H44" i="3"/>
  <c r="G44" i="3"/>
  <c r="F44" i="3"/>
  <c r="E44" i="3"/>
  <c r="D44" i="3"/>
  <c r="C44" i="3"/>
  <c r="B44" i="3"/>
  <c r="L43" i="3"/>
  <c r="K43" i="3"/>
  <c r="J43" i="3"/>
  <c r="I43" i="3"/>
  <c r="H43" i="3"/>
  <c r="G43" i="3"/>
  <c r="F43" i="3"/>
  <c r="E43" i="3"/>
  <c r="D43" i="3"/>
  <c r="C43" i="3"/>
  <c r="B43" i="3"/>
  <c r="L42" i="3"/>
  <c r="K42" i="3"/>
  <c r="J42" i="3"/>
  <c r="I42" i="3"/>
  <c r="H42" i="3"/>
  <c r="G42" i="3"/>
  <c r="F42" i="3"/>
  <c r="E42" i="3"/>
  <c r="D42" i="3"/>
  <c r="C42" i="3"/>
  <c r="B42" i="3"/>
  <c r="L41" i="3"/>
  <c r="K41" i="3"/>
  <c r="J41" i="3"/>
  <c r="I41" i="3"/>
  <c r="H41" i="3"/>
  <c r="G41" i="3"/>
  <c r="F41" i="3"/>
  <c r="E41" i="3"/>
  <c r="D41" i="3"/>
  <c r="C41" i="3"/>
  <c r="B41" i="3"/>
  <c r="L40" i="3"/>
  <c r="K40" i="3"/>
  <c r="J40" i="3"/>
  <c r="I40" i="3"/>
  <c r="H40" i="3"/>
  <c r="G40" i="3"/>
  <c r="F40" i="3"/>
  <c r="E40" i="3"/>
  <c r="D40" i="3"/>
  <c r="C40" i="3"/>
  <c r="B40" i="3"/>
  <c r="L39" i="3"/>
  <c r="K39" i="3"/>
  <c r="J39" i="3"/>
  <c r="I39" i="3"/>
  <c r="H39" i="3"/>
  <c r="G39" i="3"/>
  <c r="F39" i="3"/>
  <c r="E39" i="3"/>
  <c r="D39" i="3"/>
  <c r="C39" i="3"/>
  <c r="B39" i="3"/>
  <c r="L38" i="3"/>
  <c r="K38" i="3"/>
  <c r="J38" i="3"/>
  <c r="I38" i="3"/>
  <c r="H38" i="3"/>
  <c r="G38" i="3"/>
  <c r="F38" i="3"/>
  <c r="E38" i="3"/>
  <c r="D38" i="3"/>
  <c r="C38" i="3"/>
  <c r="B38" i="3"/>
  <c r="L37" i="3"/>
  <c r="K37" i="3"/>
  <c r="J37" i="3"/>
  <c r="I37" i="3"/>
  <c r="H37" i="3"/>
  <c r="G37" i="3"/>
  <c r="F37" i="3"/>
  <c r="E37" i="3"/>
  <c r="D37" i="3"/>
  <c r="C37" i="3"/>
  <c r="B37" i="3"/>
  <c r="L36" i="3"/>
  <c r="K36" i="3"/>
  <c r="J36" i="3"/>
  <c r="I36" i="3"/>
  <c r="H36" i="3"/>
  <c r="G36" i="3"/>
  <c r="F36" i="3"/>
  <c r="E36" i="3"/>
  <c r="D36" i="3"/>
  <c r="C36" i="3"/>
  <c r="B36" i="3"/>
  <c r="L35" i="3"/>
  <c r="K35" i="3"/>
  <c r="J35" i="3"/>
  <c r="I35" i="3"/>
  <c r="H35" i="3"/>
  <c r="G35" i="3"/>
  <c r="F35" i="3"/>
  <c r="E35" i="3"/>
  <c r="D35" i="3"/>
  <c r="C35" i="3"/>
  <c r="B35" i="3"/>
  <c r="L34" i="3"/>
  <c r="K34" i="3"/>
  <c r="J34" i="3"/>
  <c r="I34" i="3"/>
  <c r="H34" i="3"/>
  <c r="G34" i="3"/>
  <c r="F34" i="3"/>
  <c r="E34" i="3"/>
  <c r="D34" i="3"/>
  <c r="C34" i="3"/>
  <c r="B34" i="3"/>
  <c r="L33" i="3"/>
  <c r="K33" i="3"/>
  <c r="J33" i="3"/>
  <c r="I33" i="3"/>
  <c r="H33" i="3"/>
  <c r="G33" i="3"/>
  <c r="F33" i="3"/>
  <c r="E33" i="3"/>
  <c r="D33" i="3"/>
  <c r="C33" i="3"/>
  <c r="B33" i="3"/>
  <c r="L32" i="3"/>
  <c r="K32" i="3"/>
  <c r="J32" i="3"/>
  <c r="I32" i="3"/>
  <c r="H32" i="3"/>
  <c r="G32" i="3"/>
  <c r="F32" i="3"/>
  <c r="E32" i="3"/>
  <c r="D32" i="3"/>
  <c r="C32" i="3"/>
  <c r="B32" i="3"/>
  <c r="L31" i="3"/>
  <c r="K31" i="3"/>
  <c r="J31" i="3"/>
  <c r="I31" i="3"/>
  <c r="H31" i="3"/>
  <c r="G31" i="3"/>
  <c r="F31" i="3"/>
  <c r="E31" i="3"/>
  <c r="D31" i="3"/>
  <c r="C31" i="3"/>
  <c r="B31" i="3"/>
  <c r="L30" i="3"/>
  <c r="K30" i="3"/>
  <c r="J30" i="3"/>
  <c r="I30" i="3"/>
  <c r="H30" i="3"/>
  <c r="G30" i="3"/>
  <c r="F30" i="3"/>
  <c r="E30" i="3"/>
  <c r="D30" i="3"/>
  <c r="C30" i="3"/>
  <c r="B30" i="3"/>
  <c r="L29" i="3"/>
  <c r="K29" i="3"/>
  <c r="J29" i="3"/>
  <c r="I29" i="3"/>
  <c r="H29" i="3"/>
  <c r="G29" i="3"/>
  <c r="F29" i="3"/>
  <c r="E29" i="3"/>
  <c r="D29" i="3"/>
  <c r="C29" i="3"/>
  <c r="B29" i="3"/>
  <c r="L28" i="3"/>
  <c r="K28" i="3"/>
  <c r="J28" i="3"/>
  <c r="I28" i="3"/>
  <c r="H28" i="3"/>
  <c r="G28" i="3"/>
  <c r="F28" i="3"/>
  <c r="E28" i="3"/>
  <c r="D28" i="3"/>
  <c r="C28" i="3"/>
  <c r="B28" i="3"/>
  <c r="L27" i="3"/>
  <c r="K27" i="3"/>
  <c r="J27" i="3"/>
  <c r="I27" i="3"/>
  <c r="H27" i="3"/>
  <c r="G27" i="3"/>
  <c r="F27" i="3"/>
  <c r="E27" i="3"/>
  <c r="D27" i="3"/>
  <c r="C27" i="3"/>
  <c r="B27" i="3"/>
  <c r="L26" i="3"/>
  <c r="K26" i="3"/>
  <c r="J26" i="3"/>
  <c r="I26" i="3"/>
  <c r="H26" i="3"/>
  <c r="G26" i="3"/>
  <c r="F26" i="3"/>
  <c r="E26" i="3"/>
  <c r="D26" i="3"/>
  <c r="C26" i="3"/>
  <c r="B26" i="3"/>
  <c r="L25" i="3"/>
  <c r="K25" i="3"/>
  <c r="J25" i="3"/>
  <c r="I25" i="3"/>
  <c r="H25" i="3"/>
  <c r="G25" i="3"/>
  <c r="F25" i="3"/>
  <c r="E25" i="3"/>
  <c r="D25" i="3"/>
  <c r="C25" i="3"/>
  <c r="B25" i="3"/>
  <c r="L24" i="3"/>
  <c r="K24" i="3"/>
  <c r="J24" i="3"/>
  <c r="I24" i="3"/>
  <c r="H24" i="3"/>
  <c r="G24" i="3"/>
  <c r="F24" i="3"/>
  <c r="E24" i="3"/>
  <c r="D24" i="3"/>
  <c r="C24" i="3"/>
  <c r="B24" i="3"/>
  <c r="L23" i="3"/>
  <c r="K23" i="3"/>
  <c r="J23" i="3"/>
  <c r="I23" i="3"/>
  <c r="H23" i="3"/>
  <c r="G23" i="3"/>
  <c r="F23" i="3"/>
  <c r="E23" i="3"/>
  <c r="D23" i="3"/>
  <c r="C23" i="3"/>
  <c r="B23" i="3"/>
  <c r="L22" i="3"/>
  <c r="K22" i="3"/>
  <c r="J22" i="3"/>
  <c r="I22" i="3"/>
  <c r="H22" i="3"/>
  <c r="G22" i="3"/>
  <c r="F22" i="3"/>
  <c r="E22" i="3"/>
  <c r="D22" i="3"/>
  <c r="C22" i="3"/>
  <c r="B22" i="3"/>
  <c r="L21" i="3"/>
  <c r="K21" i="3"/>
  <c r="J21" i="3"/>
  <c r="I21" i="3"/>
  <c r="H21" i="3"/>
  <c r="G21" i="3"/>
  <c r="F21" i="3"/>
  <c r="E21" i="3"/>
  <c r="D21" i="3"/>
  <c r="C21" i="3"/>
  <c r="B21" i="3"/>
  <c r="L20" i="3"/>
  <c r="K20" i="3"/>
  <c r="J20" i="3"/>
  <c r="I20" i="3"/>
  <c r="H20" i="3"/>
  <c r="G20" i="3"/>
  <c r="F20" i="3"/>
  <c r="E20" i="3"/>
  <c r="D20" i="3"/>
  <c r="C20" i="3"/>
  <c r="B20" i="3"/>
  <c r="L19" i="3"/>
  <c r="K19" i="3"/>
  <c r="J19" i="3"/>
  <c r="I19" i="3"/>
  <c r="H19" i="3"/>
  <c r="G19" i="3"/>
  <c r="F19" i="3"/>
  <c r="E19" i="3"/>
  <c r="D19" i="3"/>
  <c r="C19" i="3"/>
  <c r="B19" i="3"/>
  <c r="L18" i="3"/>
  <c r="K18" i="3"/>
  <c r="J18" i="3"/>
  <c r="I18" i="3"/>
  <c r="H18" i="3"/>
  <c r="G18" i="3"/>
  <c r="F18" i="3"/>
  <c r="E18" i="3"/>
  <c r="D18" i="3"/>
  <c r="C18" i="3"/>
  <c r="B18" i="3"/>
  <c r="L17" i="3"/>
  <c r="K17" i="3"/>
  <c r="J17" i="3"/>
  <c r="I17" i="3"/>
  <c r="H17" i="3"/>
  <c r="G17" i="3"/>
  <c r="F17" i="3"/>
  <c r="E17" i="3"/>
  <c r="D17" i="3"/>
  <c r="C17" i="3"/>
  <c r="B17" i="3"/>
  <c r="L16" i="3"/>
  <c r="K16" i="3"/>
  <c r="J16" i="3"/>
  <c r="I16" i="3"/>
  <c r="H16" i="3"/>
  <c r="G16" i="3"/>
  <c r="F16" i="3"/>
  <c r="E16" i="3"/>
  <c r="D16" i="3"/>
  <c r="C16" i="3"/>
  <c r="B16" i="3"/>
  <c r="L15" i="3"/>
  <c r="K15" i="3"/>
  <c r="J15" i="3"/>
  <c r="I15" i="3"/>
  <c r="H15" i="3"/>
  <c r="G15" i="3"/>
  <c r="F15" i="3"/>
  <c r="E15" i="3"/>
  <c r="D15" i="3"/>
  <c r="C15" i="3"/>
  <c r="B15" i="3"/>
  <c r="L14" i="3"/>
  <c r="K14" i="3"/>
  <c r="I14" i="3"/>
  <c r="H14" i="3"/>
  <c r="G14" i="3"/>
  <c r="F14" i="3"/>
  <c r="E14" i="3"/>
  <c r="D14" i="3"/>
  <c r="C14" i="3"/>
  <c r="B14" i="3"/>
  <c r="L13" i="3"/>
  <c r="K13" i="3"/>
  <c r="I13" i="3"/>
  <c r="H13" i="3"/>
  <c r="G13" i="3"/>
  <c r="F13" i="3"/>
  <c r="E13" i="3"/>
  <c r="D13" i="3"/>
  <c r="C13" i="3"/>
  <c r="B13" i="3"/>
  <c r="L12" i="3"/>
  <c r="K12" i="3"/>
  <c r="I12" i="3"/>
  <c r="H12" i="3"/>
  <c r="G12" i="3"/>
  <c r="F12" i="3"/>
  <c r="E12" i="3"/>
  <c r="D12" i="3"/>
  <c r="C12" i="3"/>
  <c r="B12" i="3"/>
  <c r="L11" i="3"/>
  <c r="K11" i="3"/>
  <c r="I11" i="3"/>
  <c r="H11" i="3"/>
  <c r="G11" i="3"/>
  <c r="F11" i="3"/>
  <c r="E11" i="3"/>
  <c r="D11" i="3"/>
  <c r="C11" i="3"/>
  <c r="B11" i="3"/>
  <c r="L10" i="3"/>
  <c r="K10" i="3"/>
  <c r="I10" i="3"/>
  <c r="H10" i="3"/>
  <c r="G10" i="3"/>
  <c r="F10" i="3"/>
  <c r="E10" i="3"/>
  <c r="D10" i="3"/>
  <c r="C10" i="3"/>
  <c r="B10" i="3"/>
  <c r="L9" i="3"/>
  <c r="K9" i="3"/>
  <c r="I9" i="3"/>
  <c r="H9" i="3"/>
  <c r="G9" i="3"/>
  <c r="F9" i="3"/>
  <c r="E9" i="3"/>
  <c r="D9" i="3"/>
  <c r="C9" i="3"/>
  <c r="B9" i="3"/>
  <c r="L8" i="3"/>
  <c r="K8" i="3"/>
  <c r="I8" i="3"/>
  <c r="H8" i="3"/>
  <c r="G8" i="3"/>
  <c r="F8" i="3"/>
  <c r="E8" i="3"/>
  <c r="D8" i="3"/>
  <c r="C8" i="3"/>
  <c r="B8" i="3"/>
  <c r="L7" i="3"/>
  <c r="K7" i="3"/>
  <c r="I7" i="3"/>
  <c r="H7" i="3"/>
  <c r="G7" i="3"/>
  <c r="F7" i="3"/>
  <c r="E7" i="3"/>
  <c r="D7" i="3"/>
  <c r="C7" i="3"/>
  <c r="B7" i="3"/>
  <c r="L6" i="3"/>
  <c r="K6" i="3"/>
  <c r="I6" i="3"/>
  <c r="H6" i="3"/>
  <c r="G6" i="3"/>
  <c r="F6" i="3"/>
  <c r="E6" i="3"/>
  <c r="D6" i="3"/>
  <c r="C6" i="3"/>
  <c r="B6" i="3"/>
  <c r="L5" i="3"/>
  <c r="K5" i="3"/>
  <c r="I5" i="3"/>
  <c r="H5" i="3"/>
  <c r="G5" i="3"/>
  <c r="F5" i="3"/>
  <c r="E5" i="3"/>
  <c r="D5" i="3"/>
  <c r="C5" i="3"/>
  <c r="B5" i="3"/>
  <c r="L4" i="3"/>
  <c r="K4" i="3"/>
  <c r="J4" i="3"/>
  <c r="I4" i="3"/>
  <c r="H4" i="3"/>
  <c r="G4" i="3"/>
  <c r="F4" i="3"/>
  <c r="E4" i="3"/>
  <c r="D4" i="3"/>
  <c r="C4" i="3"/>
  <c r="B4" i="3"/>
  <c r="L3" i="3"/>
  <c r="K3" i="3"/>
  <c r="J3" i="3"/>
  <c r="I3" i="3"/>
  <c r="H3" i="3"/>
  <c r="G3" i="3"/>
  <c r="F3" i="3"/>
  <c r="E3" i="3"/>
  <c r="D3" i="3"/>
  <c r="C3" i="3"/>
  <c r="B3" i="3"/>
  <c r="A100" i="2"/>
  <c r="B100" i="2" s="1"/>
  <c r="C100" i="2" l="1"/>
  <c r="D100" i="2" l="1"/>
  <c r="E100" i="2" l="1"/>
  <c r="F100" i="2" l="1"/>
  <c r="G100" i="2" l="1"/>
  <c r="H100" i="2" l="1"/>
  <c r="I100" i="2" l="1"/>
  <c r="J100" i="2" l="1"/>
  <c r="K100" i="2" l="1"/>
  <c r="L100" i="2" l="1"/>
  <c r="M100" i="2" l="1"/>
  <c r="N100" i="2" l="1"/>
  <c r="O100" i="2" l="1"/>
  <c r="P100" i="2" l="1"/>
  <c r="Q100" i="2" l="1"/>
  <c r="R100" i="2" l="1"/>
  <c r="S100" i="2" l="1"/>
  <c r="T100" i="2" l="1"/>
  <c r="U100" i="2" l="1"/>
  <c r="V100" i="2" l="1"/>
  <c r="W100" i="2" l="1"/>
  <c r="X100" i="2" l="1"/>
  <c r="Y100" i="2" l="1"/>
  <c r="Z100" i="2" l="1"/>
  <c r="AA100" i="2" l="1"/>
  <c r="AB100" i="2" l="1"/>
  <c r="AC100" i="2" l="1"/>
  <c r="AD100" i="2" l="1"/>
  <c r="AE100" i="2" l="1"/>
  <c r="AF100" i="2" l="1"/>
  <c r="AG100" i="2" l="1"/>
  <c r="AH100" i="2" l="1"/>
  <c r="AI100" i="2" l="1"/>
  <c r="AJ100" i="2" l="1"/>
  <c r="AK100" i="2" l="1"/>
  <c r="AL100" i="2" l="1"/>
  <c r="AM100" i="2" l="1"/>
  <c r="AN100" i="2" l="1"/>
  <c r="AO100" i="2" l="1"/>
  <c r="AP100" i="2" l="1"/>
  <c r="AQ100" i="2" l="1"/>
  <c r="AR100" i="2" l="1"/>
  <c r="AS100" i="2" l="1"/>
  <c r="AT100" i="2" l="1"/>
  <c r="AU100" i="2" l="1"/>
  <c r="AV100" i="2" l="1"/>
  <c r="AW100" i="2" l="1"/>
  <c r="AX100" i="2" l="1"/>
  <c r="AY100" i="2" l="1"/>
  <c r="AZ100" i="2" l="1"/>
  <c r="BA100" i="2" l="1"/>
  <c r="BB100" i="2" l="1"/>
  <c r="BC100" i="2" l="1"/>
  <c r="BD100" i="2" l="1"/>
  <c r="BE100" i="2" l="1"/>
  <c r="BF100" i="2" l="1"/>
  <c r="BG100" i="2" l="1"/>
  <c r="BH100" i="2" l="1"/>
  <c r="BI100" i="2" l="1"/>
  <c r="BJ100" i="2" l="1"/>
  <c r="BK100" i="2" l="1"/>
  <c r="BL100" i="2" l="1"/>
  <c r="BM100" i="2" l="1"/>
  <c r="BN100" i="2" l="1"/>
  <c r="BO100" i="2" l="1"/>
  <c r="BP100" i="2" l="1"/>
  <c r="BQ100" i="2" l="1"/>
  <c r="BR100" i="2" l="1"/>
  <c r="BS100" i="2" l="1"/>
  <c r="BT100" i="2" l="1"/>
  <c r="BU100" i="2" l="1"/>
  <c r="BV100" i="2" l="1"/>
  <c r="BW100" i="2" l="1"/>
  <c r="BX100" i="2" l="1"/>
  <c r="BY100" i="2" l="1"/>
  <c r="BZ100" i="2" l="1"/>
  <c r="CA100" i="2" l="1"/>
  <c r="CB100" i="2" l="1"/>
  <c r="CC100" i="2" l="1"/>
  <c r="CD100" i="2" l="1"/>
  <c r="CE100" i="2" l="1"/>
  <c r="CF100" i="2" l="1"/>
  <c r="CG100" i="2" l="1"/>
  <c r="CH100" i="2" l="1"/>
  <c r="CI100" i="2" l="1"/>
  <c r="CJ100" i="2" l="1"/>
  <c r="CK100" i="2" l="1"/>
  <c r="CL100" i="2" l="1"/>
  <c r="CM100" i="2" l="1"/>
  <c r="CN100" i="2" l="1"/>
  <c r="CO100" i="2" l="1"/>
  <c r="CP100" i="2" l="1"/>
  <c r="CQ100" i="2" l="1"/>
  <c r="CR100" i="2" l="1"/>
  <c r="CS100" i="2" l="1"/>
  <c r="CT100" i="2" l="1"/>
  <c r="CU100" i="2" l="1"/>
  <c r="CV100" i="2" l="1"/>
  <c r="CW100" i="2" l="1"/>
  <c r="CX100" i="2" l="1"/>
  <c r="CY100" i="2" l="1"/>
  <c r="CZ100" i="2" l="1"/>
  <c r="DA100" i="2" l="1"/>
  <c r="DB100" i="2" l="1"/>
  <c r="DC100" i="2" l="1"/>
  <c r="DD100" i="2" l="1"/>
  <c r="DE100" i="2" l="1"/>
  <c r="DF100" i="2" l="1"/>
  <c r="DG100" i="2" l="1"/>
  <c r="DH100" i="2" l="1"/>
  <c r="DI100" i="2" l="1"/>
  <c r="DJ100" i="2" l="1"/>
  <c r="DK100" i="2" l="1"/>
  <c r="DL100" i="2" l="1"/>
  <c r="DM100" i="2" l="1"/>
  <c r="DN100" i="2" l="1"/>
  <c r="DO100" i="2" l="1"/>
  <c r="DP100" i="2" l="1"/>
  <c r="DQ100" i="2" l="1"/>
  <c r="DR100" i="2" l="1"/>
  <c r="DS100" i="2" l="1"/>
  <c r="DT100" i="2" l="1"/>
  <c r="DU100" i="2" l="1"/>
  <c r="DV100" i="2" l="1"/>
  <c r="DW100" i="2" l="1"/>
  <c r="DX100" i="2" l="1"/>
  <c r="DY100" i="2" l="1"/>
  <c r="DZ100" i="2" l="1"/>
  <c r="EA100" i="2" l="1"/>
  <c r="EB100" i="2" l="1"/>
  <c r="EC100" i="2" l="1"/>
  <c r="ED100" i="2" l="1"/>
  <c r="EE100" i="2" l="1"/>
  <c r="EF100" i="2" l="1"/>
  <c r="EG100" i="2" l="1"/>
  <c r="EH100" i="2" l="1"/>
  <c r="EI100" i="2" l="1"/>
  <c r="EJ100" i="2" l="1"/>
  <c r="EK100" i="2" l="1"/>
  <c r="EL100" i="2" l="1"/>
  <c r="EM100" i="2" l="1"/>
  <c r="EN100" i="2" l="1"/>
  <c r="EO100" i="2" l="1"/>
  <c r="EP100" i="2" l="1"/>
  <c r="EQ100" i="2" l="1"/>
  <c r="ER100" i="2" l="1"/>
  <c r="ES100" i="2" l="1"/>
  <c r="ET100" i="2" l="1"/>
  <c r="EU100" i="2" l="1"/>
  <c r="EV100" i="2" l="1"/>
  <c r="EW100" i="2" l="1"/>
  <c r="EX100" i="2" l="1"/>
  <c r="EY100" i="2" l="1"/>
  <c r="EZ100" i="2" l="1"/>
  <c r="FA100" i="2" l="1"/>
  <c r="FB100" i="2" l="1"/>
  <c r="FC100" i="2" l="1"/>
  <c r="FD100" i="2" l="1"/>
  <c r="FE100" i="2" l="1"/>
  <c r="FF100" i="2" s="1"/>
  <c r="FG100" i="2" s="1"/>
  <c r="FH100" i="2" s="1"/>
  <c r="FI100" i="2" s="1"/>
  <c r="FJ100" i="2" s="1"/>
  <c r="FK100" i="2" s="1"/>
  <c r="FL100" i="2" s="1"/>
  <c r="FM100" i="2" s="1"/>
  <c r="FN100" i="2" s="1"/>
  <c r="FO100" i="2" s="1"/>
  <c r="FP100" i="2" s="1"/>
  <c r="FQ100" i="2" s="1"/>
  <c r="FR100" i="2" s="1"/>
  <c r="FS100" i="2" s="1"/>
  <c r="FT100" i="2" s="1"/>
  <c r="FU100" i="2" s="1"/>
  <c r="FV100" i="2" s="1"/>
  <c r="FW100" i="2" s="1"/>
  <c r="FX100" i="2" s="1"/>
  <c r="FY100" i="2" s="1"/>
  <c r="FZ100" i="2" s="1"/>
  <c r="GA100" i="2" s="1"/>
  <c r="GB100" i="2" s="1"/>
  <c r="GC100" i="2" s="1"/>
  <c r="GD100" i="2" s="1"/>
  <c r="GE100" i="2" s="1"/>
  <c r="GF100" i="2" s="1"/>
  <c r="GG100" i="2" s="1"/>
  <c r="GH100" i="2" s="1"/>
  <c r="GI100" i="2" s="1"/>
  <c r="GJ100" i="2" s="1"/>
  <c r="GK100" i="2" s="1"/>
  <c r="GL100" i="2" s="1"/>
  <c r="GM100" i="2" s="1"/>
  <c r="GN100" i="2" s="1"/>
  <c r="GO100" i="2" s="1"/>
  <c r="GP100" i="2" s="1"/>
  <c r="GQ100" i="2" s="1"/>
  <c r="GR100" i="2" s="1"/>
  <c r="GS100" i="2" s="1"/>
  <c r="GT100" i="2" s="1"/>
  <c r="GU100" i="2" s="1"/>
  <c r="GV100" i="2" s="1"/>
  <c r="GW100" i="2" s="1"/>
  <c r="GX100" i="2" s="1"/>
  <c r="GY100" i="2" s="1"/>
  <c r="GZ100" i="2" s="1"/>
  <c r="HA100" i="2" s="1"/>
  <c r="HB100" i="2" s="1"/>
  <c r="HC100" i="2" s="1"/>
  <c r="HD100" i="2" s="1"/>
  <c r="HE100" i="2" s="1"/>
  <c r="HF100" i="2" s="1"/>
  <c r="HG100" i="2" s="1"/>
  <c r="HH100" i="2" s="1"/>
  <c r="HI100" i="2" s="1"/>
  <c r="HJ100" i="2" s="1"/>
  <c r="HK100" i="2" s="1"/>
  <c r="HL100" i="2" s="1"/>
  <c r="HM100" i="2" s="1"/>
  <c r="HN100" i="2" s="1"/>
  <c r="HO100" i="2" s="1"/>
  <c r="HP100" i="2" s="1"/>
  <c r="HQ100" i="2" s="1"/>
  <c r="HR100" i="2" s="1"/>
  <c r="HS100" i="2" s="1"/>
  <c r="HT100" i="2" s="1"/>
  <c r="HU100" i="2" s="1"/>
  <c r="HV100" i="2" s="1"/>
  <c r="HW100" i="2" s="1"/>
  <c r="HX100" i="2" s="1"/>
  <c r="HY100" i="2" s="1"/>
  <c r="HZ100" i="2" s="1"/>
  <c r="IA100" i="2" s="1"/>
  <c r="IB100" i="2" s="1"/>
  <c r="IC100" i="2" s="1"/>
  <c r="ID100" i="2" s="1"/>
  <c r="IE100" i="2" s="1"/>
  <c r="IF100" i="2" s="1"/>
  <c r="IG100" i="2" s="1"/>
  <c r="IH100" i="2" s="1"/>
  <c r="II100" i="2" s="1"/>
  <c r="IJ100" i="2" s="1"/>
  <c r="IK100" i="2" s="1"/>
  <c r="IL100" i="2" s="1"/>
  <c r="IM100" i="2" s="1"/>
  <c r="IN100" i="2" s="1"/>
  <c r="IO100" i="2" s="1"/>
  <c r="IP100" i="2" s="1"/>
  <c r="IQ100" i="2" s="1"/>
  <c r="IR100" i="2" s="1"/>
  <c r="IS100" i="2" s="1"/>
  <c r="IT100" i="2" s="1"/>
  <c r="IU100" i="2" s="1"/>
  <c r="IV100" i="2" s="1"/>
  <c r="IW100" i="2" s="1"/>
  <c r="IX100" i="2" s="1"/>
  <c r="IY100" i="2" s="1"/>
  <c r="IZ100" i="2" s="1"/>
  <c r="JA100" i="2" s="1"/>
  <c r="JB100" i="2" s="1"/>
  <c r="JC100" i="2" s="1"/>
  <c r="JD100" i="2" s="1"/>
  <c r="JE100" i="2" s="1"/>
  <c r="JF100" i="2" s="1"/>
  <c r="JG100" i="2" s="1"/>
  <c r="JH100" i="2" s="1"/>
  <c r="JI100" i="2" s="1"/>
  <c r="JJ100" i="2" s="1"/>
  <c r="JK100" i="2" s="1"/>
  <c r="JL100" i="2" s="1"/>
  <c r="JM100" i="2" s="1"/>
  <c r="JN100" i="2" s="1"/>
  <c r="JO100" i="2" s="1"/>
  <c r="JP100" i="2" s="1"/>
  <c r="JQ100" i="2" s="1"/>
  <c r="JR100" i="2" s="1"/>
  <c r="JS100" i="2" s="1"/>
  <c r="JT100" i="2" s="1"/>
  <c r="JU100" i="2" s="1"/>
  <c r="JV100" i="2" s="1"/>
  <c r="JW100" i="2" s="1"/>
  <c r="JX100" i="2" s="1"/>
  <c r="JY100" i="2" s="1"/>
  <c r="JZ100" i="2" s="1"/>
  <c r="KA100" i="2" s="1"/>
  <c r="KB100" i="2" s="1"/>
  <c r="KC100" i="2" s="1"/>
  <c r="KD100" i="2" s="1"/>
  <c r="KE100" i="2" s="1"/>
  <c r="KF100" i="2" s="1"/>
  <c r="KG100" i="2" s="1"/>
  <c r="KH100" i="2" s="1"/>
  <c r="KI100" i="2" s="1"/>
  <c r="KJ100" i="2" s="1"/>
  <c r="KK100" i="2" s="1"/>
  <c r="KL100" i="2" s="1"/>
  <c r="KM100" i="2" s="1"/>
  <c r="KN100" i="2" s="1"/>
  <c r="KO100" i="2" s="1"/>
  <c r="KP100" i="2" s="1"/>
  <c r="KQ100" i="2" s="1"/>
  <c r="KR100" i="2" s="1"/>
  <c r="KS100" i="2" s="1"/>
  <c r="KT100" i="2" s="1"/>
  <c r="KU100" i="2" s="1"/>
  <c r="KV100" i="2" s="1"/>
  <c r="KW100" i="2" s="1"/>
  <c r="KX100" i="2" s="1"/>
  <c r="KY100" i="2" s="1"/>
  <c r="KZ100" i="2" s="1"/>
  <c r="LA100" i="2" s="1"/>
  <c r="LB100" i="2" s="1"/>
  <c r="LC100" i="2" s="1"/>
  <c r="LD100" i="2" s="1"/>
  <c r="LE100" i="2" s="1"/>
  <c r="LF100" i="2" s="1"/>
  <c r="LG100" i="2" s="1"/>
  <c r="LH100" i="2" s="1"/>
  <c r="LI100" i="2" s="1"/>
  <c r="LJ100" i="2" s="1"/>
  <c r="LK100" i="2" s="1"/>
  <c r="LL100" i="2" s="1"/>
  <c r="LM100" i="2" s="1"/>
  <c r="LN100" i="2" s="1"/>
  <c r="LO100" i="2" s="1"/>
  <c r="LP100" i="2" s="1"/>
  <c r="LQ100" i="2" s="1"/>
  <c r="LR100" i="2" s="1"/>
  <c r="LS100" i="2" s="1"/>
  <c r="LT100" i="2" s="1"/>
  <c r="LU100" i="2" s="1"/>
  <c r="LV100" i="2" s="1"/>
  <c r="LW100" i="2" s="1"/>
  <c r="LX100" i="2" s="1"/>
  <c r="LY100" i="2" s="1"/>
  <c r="LZ100" i="2" s="1"/>
  <c r="MA100" i="2" s="1"/>
  <c r="MB100" i="2" s="1"/>
  <c r="MC100" i="2" s="1"/>
  <c r="MD100" i="2" s="1"/>
  <c r="ME100" i="2" s="1"/>
  <c r="MF100" i="2" s="1"/>
  <c r="MG100" i="2" s="1"/>
  <c r="MH100" i="2" s="1"/>
  <c r="MI100" i="2" s="1"/>
  <c r="MJ100" i="2" s="1"/>
  <c r="MK100" i="2" s="1"/>
  <c r="ML100" i="2" s="1"/>
  <c r="MM100" i="2" s="1"/>
  <c r="MN100" i="2" s="1"/>
  <c r="MO100" i="2" s="1"/>
  <c r="MP100" i="2" s="1"/>
  <c r="MQ100" i="2" s="1"/>
  <c r="MR100" i="2" s="1"/>
  <c r="MS100" i="2" s="1"/>
  <c r="MT100" i="2" s="1"/>
  <c r="MU100" i="2" s="1"/>
  <c r="MV100" i="2" s="1"/>
  <c r="MW100" i="2" s="1"/>
  <c r="MX100" i="2" s="1"/>
  <c r="MY100" i="2" s="1"/>
  <c r="MZ100" i="2" s="1"/>
  <c r="NA100" i="2" s="1"/>
  <c r="NB100" i="2" s="1"/>
  <c r="NC100" i="2" s="1"/>
  <c r="ND100" i="2" s="1"/>
  <c r="NE100" i="2" s="1"/>
  <c r="NF100" i="2" s="1"/>
  <c r="NG100" i="2" s="1"/>
  <c r="NH100" i="2" s="1"/>
  <c r="NI100" i="2" s="1"/>
  <c r="NJ100" i="2" s="1"/>
  <c r="NK100" i="2" s="1"/>
  <c r="NL100" i="2" s="1"/>
  <c r="NM100" i="2" s="1"/>
  <c r="NN100" i="2" s="1"/>
  <c r="NO100" i="2" s="1"/>
  <c r="NP100" i="2" s="1"/>
  <c r="NQ100" i="2" s="1"/>
  <c r="NR100" i="2" s="1"/>
  <c r="NS100" i="2" s="1"/>
  <c r="NT100" i="2" s="1"/>
  <c r="NU100" i="2" s="1"/>
  <c r="NV100" i="2" s="1"/>
  <c r="NW100" i="2" s="1"/>
  <c r="NX100" i="2" s="1"/>
  <c r="NY100" i="2" s="1"/>
  <c r="NZ100" i="2" s="1"/>
  <c r="OA100" i="2" s="1"/>
  <c r="OB100" i="2" s="1"/>
  <c r="OC100" i="2" s="1"/>
  <c r="OD100" i="2" s="1"/>
  <c r="OE100" i="2" s="1"/>
  <c r="OF100" i="2" s="1"/>
  <c r="OG100" i="2" s="1"/>
  <c r="OH100" i="2" s="1"/>
  <c r="OI100" i="2" s="1"/>
  <c r="OJ100" i="2" s="1"/>
  <c r="OK100" i="2" s="1"/>
  <c r="OL100" i="2" s="1"/>
  <c r="OM100" i="2" s="1"/>
  <c r="ON100" i="2" s="1"/>
  <c r="OO100" i="2" s="1"/>
  <c r="OP100" i="2" s="1"/>
  <c r="OQ100" i="2" s="1"/>
  <c r="OR100" i="2" s="1"/>
  <c r="OS100" i="2" s="1"/>
  <c r="OT100" i="2" s="1"/>
  <c r="OU100" i="2" s="1"/>
  <c r="OV100" i="2" s="1"/>
  <c r="OW100" i="2" s="1"/>
  <c r="OX100" i="2" s="1"/>
  <c r="OY100" i="2" s="1"/>
  <c r="OZ100" i="2" s="1"/>
  <c r="PA100" i="2" s="1"/>
  <c r="PB100" i="2" s="1"/>
  <c r="PC100" i="2" s="1"/>
  <c r="PD100" i="2" s="1"/>
  <c r="PE100" i="2" s="1"/>
  <c r="PF100" i="2" s="1"/>
  <c r="PG100" i="2" s="1"/>
  <c r="PH100" i="2" s="1"/>
  <c r="PI100" i="2" s="1"/>
  <c r="PJ100" i="2" s="1"/>
  <c r="PK100" i="2" s="1"/>
  <c r="PL100" i="2" s="1"/>
  <c r="PM100" i="2" s="1"/>
  <c r="PN100" i="2" s="1"/>
  <c r="PO100" i="2" s="1"/>
  <c r="PP100" i="2" s="1"/>
  <c r="PQ100" i="2" s="1"/>
  <c r="PR100" i="2" s="1"/>
  <c r="PS100" i="2" s="1"/>
  <c r="PT100" i="2" s="1"/>
  <c r="PU100" i="2" s="1"/>
  <c r="PV100" i="2" s="1"/>
  <c r="PW100" i="2" s="1"/>
  <c r="PX100" i="2" s="1"/>
  <c r="PY100" i="2" s="1"/>
  <c r="PZ100" i="2" s="1"/>
  <c r="QA100" i="2" s="1"/>
  <c r="QB100" i="2" s="1"/>
  <c r="QC100" i="2" s="1"/>
  <c r="QD100" i="2" s="1"/>
  <c r="QE100" i="2" s="1"/>
  <c r="QF100" i="2" s="1"/>
  <c r="QG100" i="2" s="1"/>
  <c r="QH100" i="2" s="1"/>
  <c r="QI100" i="2" s="1"/>
  <c r="QJ100" i="2" s="1"/>
  <c r="QK100" i="2" s="1"/>
  <c r="QL100" i="2" s="1"/>
  <c r="QM100" i="2" s="1"/>
  <c r="QN100" i="2" s="1"/>
  <c r="QO100" i="2" s="1"/>
  <c r="QP100" i="2" s="1"/>
  <c r="QQ100" i="2" s="1"/>
  <c r="QR100" i="2" s="1"/>
  <c r="QS100" i="2" s="1"/>
  <c r="QT100" i="2" s="1"/>
  <c r="QU100" i="2" s="1"/>
  <c r="QV100" i="2" s="1"/>
  <c r="QW100" i="2" s="1"/>
  <c r="QX100" i="2" s="1"/>
  <c r="QY100" i="2" s="1"/>
  <c r="QZ100" i="2" s="1"/>
  <c r="RA100" i="2" s="1"/>
  <c r="RB100" i="2" s="1"/>
  <c r="RC100" i="2" s="1"/>
  <c r="RD100" i="2" s="1"/>
  <c r="RE100" i="2" s="1"/>
  <c r="RF100" i="2" s="1"/>
  <c r="RG100" i="2" s="1"/>
  <c r="RH100" i="2" s="1"/>
  <c r="RI100" i="2" s="1"/>
  <c r="RJ100" i="2" s="1"/>
  <c r="RK100" i="2" s="1"/>
  <c r="RL100" i="2" s="1"/>
  <c r="RM100" i="2" s="1"/>
  <c r="RN100" i="2" s="1"/>
  <c r="RO100" i="2" s="1"/>
  <c r="RP100" i="2" s="1"/>
  <c r="RQ100" i="2" s="1"/>
  <c r="RR100" i="2" s="1"/>
  <c r="RS100" i="2" s="1"/>
  <c r="RT100" i="2" s="1"/>
  <c r="RU100" i="2" s="1"/>
  <c r="RV100" i="2" s="1"/>
  <c r="RW100" i="2" s="1"/>
  <c r="RX100" i="2" s="1"/>
  <c r="RY100" i="2" s="1"/>
  <c r="RZ100" i="2" s="1"/>
  <c r="SA100" i="2" s="1"/>
  <c r="SB100" i="2" s="1"/>
  <c r="SC100" i="2" s="1"/>
  <c r="SD100" i="2" s="1"/>
  <c r="SE100" i="2" s="1"/>
  <c r="SF100" i="2" s="1"/>
  <c r="SG100" i="2" s="1"/>
  <c r="SH100" i="2" s="1"/>
  <c r="SI100" i="2" s="1"/>
  <c r="SJ100" i="2" s="1"/>
  <c r="SK100" i="2" s="1"/>
  <c r="SL100" i="2" s="1"/>
  <c r="SM100" i="2" s="1"/>
  <c r="SN100" i="2" s="1"/>
  <c r="SO100" i="2" s="1"/>
  <c r="SP100" i="2" s="1"/>
  <c r="SQ100" i="2" s="1"/>
  <c r="SR100" i="2" s="1"/>
  <c r="SS100" i="2" s="1"/>
  <c r="ST100" i="2" s="1"/>
  <c r="SU100" i="2" s="1"/>
  <c r="SV100" i="2" s="1"/>
  <c r="SW100" i="2" s="1"/>
  <c r="SX100" i="2" s="1"/>
  <c r="SY100" i="2" s="1"/>
  <c r="SZ100" i="2" s="1"/>
  <c r="TA100" i="2" s="1"/>
  <c r="TB100" i="2" s="1"/>
  <c r="TC100" i="2" s="1"/>
  <c r="TD100" i="2" s="1"/>
  <c r="TE100" i="2" s="1"/>
  <c r="TF100" i="2" s="1"/>
  <c r="TG100" i="2" s="1"/>
  <c r="TH100" i="2" s="1"/>
  <c r="TI100" i="2" s="1"/>
  <c r="TJ100" i="2" s="1"/>
  <c r="TK100" i="2" s="1"/>
  <c r="TL100" i="2" s="1"/>
  <c r="TM100" i="2" s="1"/>
  <c r="TN100" i="2" s="1"/>
  <c r="TO100" i="2" s="1"/>
  <c r="TP100" i="2" s="1"/>
  <c r="TQ100" i="2" s="1"/>
  <c r="TR100" i="2" s="1"/>
  <c r="TS100" i="2" s="1"/>
  <c r="TT100" i="2" s="1"/>
  <c r="TU100" i="2" s="1"/>
  <c r="TV100" i="2" s="1"/>
  <c r="TW100" i="2" s="1"/>
  <c r="TX100" i="2" s="1"/>
  <c r="TY100" i="2" s="1"/>
  <c r="TZ100" i="2" s="1"/>
  <c r="UA100" i="2" s="1"/>
  <c r="UB100" i="2" s="1"/>
  <c r="UC100" i="2" s="1"/>
  <c r="UD100" i="2" s="1"/>
  <c r="UE100" i="2" s="1"/>
  <c r="UF100" i="2" s="1"/>
  <c r="UG100" i="2" s="1"/>
  <c r="UH100" i="2" s="1"/>
  <c r="UI100" i="2" s="1"/>
  <c r="UJ100" i="2" s="1"/>
  <c r="UK100" i="2" s="1"/>
  <c r="UL100" i="2" s="1"/>
  <c r="UM100" i="2" s="1"/>
  <c r="UN100" i="2" s="1"/>
  <c r="UO100" i="2" s="1"/>
  <c r="UP100" i="2" s="1"/>
  <c r="UQ100" i="2" s="1"/>
  <c r="UR100" i="2" s="1"/>
  <c r="US100" i="2" s="1"/>
  <c r="UT100" i="2" s="1"/>
  <c r="UU100" i="2" s="1"/>
  <c r="UV100" i="2" s="1"/>
  <c r="UW100" i="2" s="1"/>
  <c r="UX100" i="2" s="1"/>
  <c r="UY100" i="2" s="1"/>
  <c r="UZ100" i="2" s="1"/>
  <c r="VA100" i="2" s="1"/>
  <c r="VB100" i="2" s="1"/>
  <c r="VC100" i="2" s="1"/>
  <c r="VD100" i="2" s="1"/>
  <c r="VE100" i="2" s="1"/>
  <c r="VF100" i="2" s="1"/>
  <c r="VG100" i="2" s="1"/>
  <c r="VH100" i="2" s="1"/>
  <c r="VI100" i="2" s="1"/>
  <c r="VJ100" i="2" s="1"/>
  <c r="VK100" i="2" s="1"/>
  <c r="VL100" i="2" s="1"/>
  <c r="VM100" i="2" s="1"/>
  <c r="VN100" i="2" s="1"/>
  <c r="VO100" i="2" s="1"/>
  <c r="VP100" i="2" s="1"/>
  <c r="VQ100" i="2" s="1"/>
  <c r="VR100" i="2" s="1"/>
  <c r="VS100" i="2" s="1"/>
  <c r="VT100" i="2" s="1"/>
  <c r="VU100" i="2" s="1"/>
  <c r="VV100" i="2" s="1"/>
  <c r="VW100" i="2" s="1"/>
  <c r="VX100" i="2" s="1"/>
  <c r="VY100" i="2" s="1"/>
  <c r="VZ100" i="2" s="1"/>
  <c r="WA100" i="2" s="1"/>
  <c r="WB100" i="2" s="1"/>
  <c r="WC100" i="2" s="1"/>
  <c r="WD100" i="2" s="1"/>
  <c r="WE100" i="2" s="1"/>
  <c r="WF100" i="2" s="1"/>
  <c r="WG100" i="2" s="1"/>
  <c r="WH100" i="2" s="1"/>
  <c r="WI100" i="2" s="1"/>
  <c r="WJ100" i="2" s="1"/>
  <c r="WK100" i="2" s="1"/>
  <c r="WL100" i="2" s="1"/>
  <c r="WM100" i="2" s="1"/>
  <c r="WN100" i="2" s="1"/>
  <c r="WO100" i="2" s="1"/>
  <c r="WP100" i="2" s="1"/>
  <c r="WQ100" i="2" s="1"/>
  <c r="WR100" i="2" s="1"/>
  <c r="WS100" i="2" s="1"/>
  <c r="WT100" i="2" s="1"/>
  <c r="WU100" i="2" s="1"/>
  <c r="WV100" i="2" s="1"/>
  <c r="WW100" i="2" s="1"/>
  <c r="WX100" i="2" s="1"/>
  <c r="WY100" i="2" s="1"/>
  <c r="WZ100" i="2" s="1"/>
  <c r="XA100" i="2" s="1"/>
  <c r="XB100" i="2" s="1"/>
  <c r="XC100" i="2" s="1"/>
  <c r="XD100" i="2" s="1"/>
  <c r="XE100" i="2" s="1"/>
  <c r="XF100" i="2" s="1"/>
  <c r="XG100" i="2" s="1"/>
  <c r="XH100" i="2" s="1"/>
  <c r="XI100" i="2" s="1"/>
  <c r="XJ100" i="2" s="1"/>
  <c r="XK100" i="2" s="1"/>
  <c r="XL100" i="2" s="1"/>
  <c r="XM100" i="2" s="1"/>
  <c r="XN100" i="2" s="1"/>
  <c r="XO100" i="2" s="1"/>
  <c r="XP100" i="2" s="1"/>
  <c r="XQ100" i="2" s="1"/>
  <c r="XR100" i="2" s="1"/>
  <c r="XS100" i="2" s="1"/>
  <c r="XT100" i="2" s="1"/>
  <c r="XU100" i="2" s="1"/>
  <c r="XV100" i="2" s="1"/>
  <c r="XW100" i="2" s="1"/>
  <c r="XX100" i="2" s="1"/>
  <c r="XY100" i="2" s="1"/>
  <c r="XZ100" i="2" s="1"/>
  <c r="YA100" i="2" s="1"/>
  <c r="YB100" i="2" s="1"/>
  <c r="YC100" i="2" s="1"/>
  <c r="YD100" i="2" s="1"/>
  <c r="YE100" i="2" s="1"/>
  <c r="YF100" i="2" s="1"/>
  <c r="YG100" i="2" s="1"/>
  <c r="YH100" i="2" s="1"/>
  <c r="YI100" i="2" s="1"/>
  <c r="YJ100" i="2" s="1"/>
  <c r="YK100" i="2" s="1"/>
  <c r="YL100" i="2" s="1"/>
  <c r="YM100" i="2" s="1"/>
  <c r="YN100" i="2" s="1"/>
  <c r="YO100" i="2" s="1"/>
  <c r="YP100" i="2" s="1"/>
  <c r="YQ100" i="2" s="1"/>
  <c r="YR100" i="2" s="1"/>
  <c r="YS100" i="2" s="1"/>
  <c r="YT100" i="2" s="1"/>
  <c r="YU100" i="2" s="1"/>
  <c r="YV100" i="2" s="1"/>
  <c r="YW100" i="2" s="1"/>
  <c r="YX100" i="2" s="1"/>
  <c r="YY100" i="2" s="1"/>
  <c r="YZ100" i="2" s="1"/>
  <c r="ZA100" i="2" s="1"/>
  <c r="ZB100" i="2" s="1"/>
  <c r="ZC100" i="2" s="1"/>
  <c r="ZD100" i="2" s="1"/>
  <c r="ZE100" i="2" s="1"/>
  <c r="ZF100" i="2" s="1"/>
  <c r="ZG100" i="2" s="1"/>
  <c r="ZH100" i="2" s="1"/>
  <c r="ZI100" i="2" s="1"/>
  <c r="ZJ100" i="2" s="1"/>
  <c r="ZK100" i="2" s="1"/>
  <c r="ZL100" i="2" s="1"/>
  <c r="ZM100" i="2" s="1"/>
  <c r="ZN100" i="2" s="1"/>
  <c r="ZO100" i="2" s="1"/>
  <c r="ZP100" i="2" s="1"/>
  <c r="ZQ100" i="2" s="1"/>
  <c r="ZR100" i="2" s="1"/>
  <c r="ZS100" i="2" s="1"/>
  <c r="ZT100" i="2" s="1"/>
  <c r="ZU100" i="2" s="1"/>
  <c r="ZV100" i="2" s="1"/>
  <c r="ZW100" i="2" s="1"/>
  <c r="ZX100" i="2" s="1"/>
  <c r="ZY100" i="2" s="1"/>
  <c r="ZZ100" i="2" s="1"/>
  <c r="AAA100" i="2" s="1"/>
  <c r="AAB100" i="2" s="1"/>
  <c r="AAC100" i="2" s="1"/>
  <c r="AAD100" i="2" s="1"/>
  <c r="AAE100" i="2" s="1"/>
  <c r="AAF100" i="2" s="1"/>
  <c r="AAG100" i="2" s="1"/>
  <c r="AAH100" i="2" s="1"/>
  <c r="AAI100" i="2" s="1"/>
  <c r="AAJ100" i="2" s="1"/>
  <c r="AAK100" i="2" s="1"/>
  <c r="AAL100" i="2" s="1"/>
  <c r="AAM100" i="2" s="1"/>
  <c r="AAN100" i="2" s="1"/>
  <c r="AAO100" i="2" s="1"/>
  <c r="AAP100" i="2" s="1"/>
  <c r="AAQ100" i="2" s="1"/>
  <c r="AAR100" i="2" s="1"/>
  <c r="AAS100" i="2" s="1"/>
  <c r="AAT100" i="2" s="1"/>
  <c r="AAU100" i="2" s="1"/>
  <c r="AAV100" i="2" s="1"/>
  <c r="AAW100" i="2" s="1"/>
  <c r="AAX100" i="2" s="1"/>
  <c r="AAY100" i="2" s="1"/>
  <c r="AAZ100" i="2" s="1"/>
  <c r="ABA100" i="2" s="1"/>
  <c r="ABB100" i="2" s="1"/>
  <c r="ABC100" i="2" s="1"/>
  <c r="ABD100" i="2" s="1"/>
  <c r="ABE100" i="2" s="1"/>
  <c r="ABF100" i="2" s="1"/>
  <c r="ABG100" i="2" s="1"/>
  <c r="ABH100" i="2" s="1"/>
  <c r="ABI100" i="2" s="1"/>
  <c r="ABJ100" i="2" s="1"/>
  <c r="ABK100" i="2" s="1"/>
  <c r="ABL100" i="2" s="1"/>
  <c r="ABM100" i="2" s="1"/>
  <c r="ABN100" i="2" s="1"/>
  <c r="ABO100" i="2" s="1"/>
  <c r="ABP100" i="2" s="1"/>
  <c r="ABQ100" i="2" s="1"/>
  <c r="ABR100" i="2" s="1"/>
  <c r="ABS100" i="2" s="1"/>
  <c r="ABT100" i="2" s="1"/>
  <c r="ABU100" i="2" s="1"/>
  <c r="ABV100" i="2" s="1"/>
  <c r="ABW100" i="2" s="1"/>
  <c r="ABX100" i="2" s="1"/>
  <c r="ABY100" i="2" s="1"/>
  <c r="ABZ100" i="2" s="1"/>
  <c r="ACA100" i="2" s="1"/>
  <c r="ACB100" i="2" s="1"/>
  <c r="ACC100" i="2" s="1"/>
  <c r="ACD100" i="2" s="1"/>
  <c r="ACE100" i="2" s="1"/>
  <c r="ACF100" i="2" s="1"/>
  <c r="ACG100" i="2" s="1"/>
  <c r="ACH100" i="2" s="1"/>
  <c r="ACI100" i="2" s="1"/>
  <c r="ACJ100" i="2" s="1"/>
  <c r="ACK100" i="2" s="1"/>
  <c r="ACL100" i="2" s="1"/>
  <c r="ACM100" i="2" s="1"/>
  <c r="ACN100" i="2" s="1"/>
  <c r="ACO100" i="2" s="1"/>
  <c r="ACP100" i="2" s="1"/>
  <c r="ACQ100" i="2" s="1"/>
  <c r="ACR100" i="2" s="1"/>
  <c r="ACS100" i="2" s="1"/>
  <c r="ACT100" i="2" s="1"/>
  <c r="ACU100" i="2" s="1"/>
  <c r="ACV100" i="2" s="1"/>
  <c r="ACW100" i="2" s="1"/>
  <c r="ACX100" i="2" s="1"/>
  <c r="ACY100" i="2" s="1"/>
  <c r="ACZ100" i="2" s="1"/>
  <c r="ADA100" i="2" s="1"/>
  <c r="ADB100" i="2" s="1"/>
  <c r="ADC100" i="2" s="1"/>
  <c r="ADD100" i="2" s="1"/>
  <c r="ADE100" i="2" s="1"/>
  <c r="ADF100" i="2" s="1"/>
  <c r="ADG100" i="2" s="1"/>
  <c r="ADH100" i="2" s="1"/>
  <c r="ADI100" i="2" s="1"/>
  <c r="ADJ100" i="2" s="1"/>
  <c r="ADK100" i="2" s="1"/>
  <c r="ADL100" i="2" s="1"/>
  <c r="ADM100" i="2" s="1"/>
  <c r="ADN100" i="2" s="1"/>
  <c r="ADO100" i="2" s="1"/>
  <c r="ADP100" i="2" s="1"/>
  <c r="ADQ100" i="2" s="1"/>
  <c r="ADR100" i="2" s="1"/>
  <c r="ADS100" i="2" s="1"/>
  <c r="ADT100" i="2" s="1"/>
  <c r="ADU100" i="2" s="1"/>
  <c r="ADV100" i="2" s="1"/>
  <c r="ADW100" i="2" s="1"/>
  <c r="ADX100" i="2" s="1"/>
  <c r="ADY100" i="2" s="1"/>
  <c r="ADZ100" i="2" s="1"/>
  <c r="AEA100" i="2" s="1"/>
  <c r="AEB100" i="2" s="1"/>
  <c r="AEC100" i="2" s="1"/>
  <c r="AED100" i="2" s="1"/>
  <c r="AEE100" i="2" s="1"/>
  <c r="AEF100" i="2" s="1"/>
  <c r="AEG100" i="2" s="1"/>
  <c r="AEH100" i="2" s="1"/>
  <c r="AEI100" i="2" s="1"/>
  <c r="AEJ100" i="2" s="1"/>
  <c r="AEK100" i="2" s="1"/>
  <c r="AEL100" i="2" s="1"/>
  <c r="AEM100" i="2" s="1"/>
  <c r="AEN100" i="2" s="1"/>
  <c r="AEO100" i="2" s="1"/>
  <c r="AEP100" i="2" s="1"/>
  <c r="AEQ100" i="2" s="1"/>
  <c r="AER100" i="2" s="1"/>
  <c r="AES100" i="2" s="1"/>
  <c r="AET100" i="2" s="1"/>
  <c r="AEU100" i="2" s="1"/>
  <c r="AEV100" i="2" s="1"/>
  <c r="AEW100" i="2" s="1"/>
  <c r="AEX100" i="2" s="1"/>
  <c r="AEY100" i="2" s="1"/>
  <c r="AEZ100" i="2" s="1"/>
  <c r="AFA100" i="2" s="1"/>
  <c r="AFB100" i="2" s="1"/>
  <c r="AFC100" i="2" s="1"/>
  <c r="AFD100" i="2" s="1"/>
  <c r="AFE100" i="2" s="1"/>
  <c r="AFF100" i="2" s="1"/>
  <c r="AFG100" i="2" s="1"/>
  <c r="AFH100" i="2" s="1"/>
  <c r="AFI100" i="2" s="1"/>
  <c r="AFJ100" i="2" s="1"/>
  <c r="AFK100" i="2" s="1"/>
  <c r="AFL100" i="2" s="1"/>
  <c r="AFM100" i="2" s="1"/>
  <c r="AFN100" i="2" s="1"/>
  <c r="AFO100" i="2" s="1"/>
  <c r="AFP100" i="2" s="1"/>
  <c r="AFQ100" i="2" s="1"/>
  <c r="AFR100" i="2" s="1"/>
  <c r="AFS100" i="2" s="1"/>
  <c r="AFT100" i="2" s="1"/>
  <c r="AFU100" i="2" s="1"/>
  <c r="AFV100" i="2" s="1"/>
  <c r="AFW100" i="2" s="1"/>
  <c r="AFX100" i="2" s="1"/>
  <c r="AFY100" i="2" s="1"/>
  <c r="AFZ100" i="2" s="1"/>
  <c r="AGA100" i="2" s="1"/>
  <c r="AGB100" i="2" s="1"/>
  <c r="AGC100" i="2" s="1"/>
  <c r="AGD100" i="2" s="1"/>
  <c r="AGE100" i="2" s="1"/>
  <c r="AGF100" i="2" s="1"/>
  <c r="AGG100" i="2" s="1"/>
  <c r="AGH100" i="2" s="1"/>
  <c r="AGI100" i="2" s="1"/>
  <c r="AGJ100" i="2" s="1"/>
  <c r="AGK100" i="2" s="1"/>
  <c r="AGL100" i="2" s="1"/>
  <c r="AGM100" i="2" s="1"/>
  <c r="AGN100" i="2" s="1"/>
  <c r="AGO100" i="2" s="1"/>
  <c r="AGP100" i="2" s="1"/>
  <c r="AGQ100" i="2" s="1"/>
  <c r="AGR100" i="2" s="1"/>
  <c r="AGS100" i="2" s="1"/>
  <c r="AGT100" i="2" s="1"/>
  <c r="AGU100" i="2" s="1"/>
  <c r="AGV100" i="2" s="1"/>
  <c r="AGW100" i="2" s="1"/>
  <c r="AGX100" i="2" s="1"/>
  <c r="AGY100" i="2" s="1"/>
  <c r="AGZ100" i="2" s="1"/>
  <c r="AHA100" i="2" s="1"/>
  <c r="AHB100" i="2" s="1"/>
  <c r="AHC100" i="2" s="1"/>
  <c r="AHD100" i="2" s="1"/>
  <c r="AHE100" i="2" s="1"/>
  <c r="AHF100" i="2" s="1"/>
  <c r="AHG100" i="2" s="1"/>
  <c r="AHH100" i="2" s="1"/>
  <c r="AHI100" i="2" s="1"/>
  <c r="AHJ100" i="2" s="1"/>
  <c r="AHK100" i="2" s="1"/>
  <c r="AHL100" i="2" s="1"/>
  <c r="AHM100" i="2" s="1"/>
  <c r="AHN100" i="2" s="1"/>
  <c r="AHO100" i="2" s="1"/>
  <c r="AHP100" i="2" s="1"/>
  <c r="AHQ100" i="2" s="1"/>
  <c r="AHR100" i="2" s="1"/>
  <c r="AHS100" i="2" s="1"/>
  <c r="AHT100" i="2" s="1"/>
  <c r="AHU100" i="2" s="1"/>
  <c r="AHV100" i="2" s="1"/>
  <c r="AHW100" i="2" s="1"/>
  <c r="AHX100" i="2" s="1"/>
  <c r="AHY100" i="2" s="1"/>
  <c r="AHZ100" i="2" s="1"/>
  <c r="AIA100" i="2" s="1"/>
  <c r="AIB100" i="2" s="1"/>
  <c r="AIC100" i="2" s="1"/>
  <c r="AID100" i="2" s="1"/>
  <c r="AIE100" i="2" s="1"/>
  <c r="AIF100" i="2" s="1"/>
  <c r="AIG100" i="2" s="1"/>
  <c r="AIH100" i="2" s="1"/>
  <c r="AII100" i="2" s="1"/>
  <c r="AIJ100" i="2" s="1"/>
  <c r="AIK100" i="2" s="1"/>
  <c r="AIL100" i="2" s="1"/>
  <c r="AIM100" i="2" s="1"/>
  <c r="AIN100" i="2" s="1"/>
  <c r="AIO100" i="2" s="1"/>
  <c r="AIP100" i="2" s="1"/>
  <c r="AIQ100" i="2" s="1"/>
  <c r="AIR100" i="2" s="1"/>
  <c r="AIS100" i="2" s="1"/>
  <c r="AIT100" i="2" s="1"/>
  <c r="AIU100" i="2" s="1"/>
  <c r="AIV100" i="2" s="1"/>
  <c r="AIW100" i="2" s="1"/>
  <c r="AIX100" i="2" s="1"/>
  <c r="AIY100" i="2" s="1"/>
  <c r="AIZ100" i="2" s="1"/>
  <c r="AJA100" i="2" s="1"/>
  <c r="AJB100" i="2" s="1"/>
  <c r="AJC100" i="2" s="1"/>
  <c r="AJD100" i="2" s="1"/>
  <c r="AJE100" i="2" s="1"/>
  <c r="AJF100" i="2" s="1"/>
  <c r="AJG100" i="2" s="1"/>
  <c r="AJH100" i="2" s="1"/>
  <c r="AJI100" i="2" s="1"/>
  <c r="AJJ100" i="2" s="1"/>
  <c r="AJK100" i="2" s="1"/>
  <c r="AJL100" i="2" s="1"/>
  <c r="AJM100" i="2" s="1"/>
  <c r="AJN100" i="2" s="1"/>
  <c r="AJO100" i="2" s="1"/>
  <c r="AJP100" i="2" s="1"/>
  <c r="AJQ100" i="2" s="1"/>
  <c r="AJR100" i="2" s="1"/>
  <c r="AJS100" i="2" s="1"/>
  <c r="AJT100" i="2" s="1"/>
  <c r="AJU100" i="2" s="1"/>
  <c r="AJV100" i="2" s="1"/>
  <c r="AJW100" i="2" s="1"/>
  <c r="AJX100" i="2" s="1"/>
  <c r="AJY100" i="2" s="1"/>
  <c r="AJZ100" i="2" s="1"/>
  <c r="AKA100" i="2" s="1"/>
  <c r="AKB100" i="2" s="1"/>
  <c r="AKC100" i="2" s="1"/>
  <c r="AKD100" i="2" s="1"/>
  <c r="AKE100" i="2" s="1"/>
  <c r="AKF100" i="2" s="1"/>
  <c r="AKG100" i="2" s="1"/>
  <c r="AKH100" i="2" s="1"/>
  <c r="AKI100" i="2" s="1"/>
  <c r="AKJ100" i="2" s="1"/>
  <c r="AKK100" i="2" s="1"/>
  <c r="AKL100" i="2" s="1"/>
  <c r="AKM100" i="2" s="1"/>
  <c r="AKN100" i="2" s="1"/>
  <c r="AKO100" i="2" s="1"/>
  <c r="AKP100" i="2" s="1"/>
  <c r="AKQ100" i="2" s="1"/>
  <c r="AKR100" i="2" s="1"/>
  <c r="AKS100" i="2" s="1"/>
  <c r="AKT100" i="2" s="1"/>
  <c r="AKU100" i="2" s="1"/>
  <c r="AKV100" i="2" s="1"/>
  <c r="AKW100" i="2" s="1"/>
  <c r="AKX100" i="2" s="1"/>
  <c r="AKY100" i="2" s="1"/>
  <c r="AKZ100" i="2" s="1"/>
  <c r="ALA100" i="2" s="1"/>
  <c r="ALB100" i="2" s="1"/>
  <c r="ALC100" i="2" s="1"/>
  <c r="ALD100" i="2" s="1"/>
  <c r="ALE100" i="2" s="1"/>
  <c r="ALF100" i="2" s="1"/>
  <c r="ALG100" i="2" s="1"/>
  <c r="ALH100" i="2" s="1"/>
  <c r="ALI100" i="2" s="1"/>
  <c r="ALJ100" i="2" s="1"/>
  <c r="ALK100" i="2" s="1"/>
  <c r="ALL100" i="2" s="1"/>
  <c r="ALM100" i="2" s="1"/>
  <c r="ALN100" i="2" s="1"/>
  <c r="ALO100" i="2" s="1"/>
  <c r="ALP100" i="2" s="1"/>
  <c r="ALQ100" i="2" s="1"/>
  <c r="ALR100" i="2" s="1"/>
  <c r="ALS100" i="2" s="1"/>
  <c r="ALT100" i="2" s="1"/>
  <c r="ALU100" i="2" s="1"/>
  <c r="ALV100" i="2" s="1"/>
  <c r="ALW100" i="2" s="1"/>
  <c r="ALX100" i="2" s="1"/>
  <c r="ALY100" i="2" s="1"/>
  <c r="ALZ100" i="2" s="1"/>
  <c r="AMA100" i="2" s="1"/>
  <c r="AMB100" i="2" s="1"/>
  <c r="AMC100" i="2" s="1"/>
  <c r="AMD100" i="2" s="1"/>
  <c r="AME100" i="2" s="1"/>
  <c r="AMF100" i="2" s="1"/>
  <c r="AMG100" i="2" s="1"/>
  <c r="AMH100" i="2" s="1"/>
  <c r="AMI100" i="2" s="1"/>
  <c r="AMJ100" i="2" s="1"/>
  <c r="AMK100" i="2" s="1"/>
  <c r="AML100" i="2" s="1"/>
  <c r="AMM100" i="2" s="1"/>
  <c r="AMN100" i="2" s="1"/>
  <c r="AMO100" i="2" s="1"/>
  <c r="AMP100" i="2" s="1"/>
  <c r="AMQ100" i="2" s="1"/>
  <c r="AMR100" i="2" s="1"/>
  <c r="AMS100" i="2" s="1"/>
  <c r="AMT100" i="2" s="1"/>
  <c r="AMU100" i="2" s="1"/>
  <c r="AMV100" i="2" s="1"/>
  <c r="AMW100" i="2" s="1"/>
  <c r="AMX100" i="2" s="1"/>
  <c r="AMY100" i="2" s="1"/>
  <c r="AMZ100" i="2" s="1"/>
  <c r="ANA100" i="2" s="1"/>
  <c r="ANB100" i="2" s="1"/>
  <c r="ANC100" i="2" s="1"/>
  <c r="AND100" i="2" s="1"/>
  <c r="ANE100" i="2" s="1"/>
  <c r="ANF100" i="2" s="1"/>
  <c r="ANG100" i="2" s="1"/>
  <c r="ANH100" i="2" s="1"/>
  <c r="ANI100" i="2" s="1"/>
  <c r="ANJ100" i="2" s="1"/>
  <c r="ANK100" i="2" s="1"/>
  <c r="ANL100" i="2" s="1"/>
  <c r="ANM100" i="2" s="1"/>
  <c r="ANN100" i="2" s="1"/>
  <c r="ANO100" i="2" s="1"/>
  <c r="ANP100" i="2" s="1"/>
  <c r="ANQ100" i="2" s="1"/>
  <c r="ANR100" i="2" s="1"/>
  <c r="ANS100" i="2" s="1"/>
  <c r="ANT100" i="2" s="1"/>
  <c r="ANU100" i="2" s="1"/>
  <c r="ANV100" i="2" s="1"/>
  <c r="ANW100" i="2" s="1"/>
  <c r="ANX100" i="2" s="1"/>
  <c r="ANY100" i="2" s="1"/>
  <c r="ANZ100" i="2" s="1"/>
  <c r="AOA100" i="2" s="1"/>
  <c r="AOB100" i="2" s="1"/>
  <c r="AOC100" i="2" s="1"/>
  <c r="AOD100" i="2" s="1"/>
  <c r="AOE100" i="2" s="1"/>
  <c r="AOF100" i="2" s="1"/>
  <c r="AOG100" i="2" s="1"/>
  <c r="AOH100" i="2" s="1"/>
  <c r="AOI100" i="2" s="1"/>
  <c r="AOJ100" i="2" s="1"/>
  <c r="AOK100" i="2" s="1"/>
  <c r="AOL100" i="2" s="1"/>
  <c r="AOM100" i="2" s="1"/>
  <c r="AON100" i="2" s="1"/>
  <c r="AOO100" i="2" s="1"/>
  <c r="AOP100" i="2" s="1"/>
  <c r="AOQ100" i="2" s="1"/>
  <c r="AOR100" i="2" s="1"/>
  <c r="AOS100" i="2" s="1"/>
  <c r="AOT100" i="2" s="1"/>
  <c r="AOU100" i="2" s="1"/>
  <c r="AOV100" i="2" s="1"/>
  <c r="AOW100" i="2" s="1"/>
  <c r="AOX100" i="2" s="1"/>
  <c r="AOY100" i="2" s="1"/>
  <c r="AOZ100" i="2" s="1"/>
  <c r="APA100" i="2" s="1"/>
  <c r="APB100" i="2" s="1"/>
  <c r="APC100" i="2" s="1"/>
  <c r="APD100" i="2" s="1"/>
  <c r="APE100" i="2" s="1"/>
  <c r="APF100" i="2" s="1"/>
  <c r="APG100" i="2" s="1"/>
  <c r="APH100" i="2" s="1"/>
  <c r="API100" i="2" s="1"/>
  <c r="APJ100" i="2" s="1"/>
  <c r="APK100" i="2" s="1"/>
  <c r="APL100" i="2" s="1"/>
  <c r="APM100" i="2" s="1"/>
  <c r="APN100" i="2" s="1"/>
  <c r="APO100" i="2" s="1"/>
  <c r="APP100" i="2" s="1"/>
  <c r="APQ100" i="2" s="1"/>
  <c r="APR100" i="2" s="1"/>
  <c r="APS100" i="2" s="1"/>
  <c r="APT100" i="2" s="1"/>
  <c r="APU100" i="2" s="1"/>
  <c r="APV100" i="2" s="1"/>
  <c r="APW100" i="2" s="1"/>
  <c r="APX100" i="2" s="1"/>
  <c r="APY100" i="2" s="1"/>
  <c r="APZ100" i="2" s="1"/>
  <c r="AQA100" i="2" s="1"/>
  <c r="AQB100" i="2" s="1"/>
  <c r="AQC100" i="2" s="1"/>
  <c r="AQD100" i="2" s="1"/>
  <c r="AQE100" i="2" s="1"/>
  <c r="AQF100" i="2" s="1"/>
  <c r="AQG100" i="2" s="1"/>
  <c r="AQH100" i="2" s="1"/>
  <c r="AQI100" i="2" s="1"/>
  <c r="AQJ100" i="2" s="1"/>
  <c r="AQK100" i="2" s="1"/>
  <c r="AQL100" i="2" s="1"/>
  <c r="AQM100" i="2" s="1"/>
  <c r="AQN100" i="2" s="1"/>
  <c r="AQO100" i="2" s="1"/>
  <c r="AQP100" i="2" s="1"/>
  <c r="AQQ100" i="2" s="1"/>
  <c r="AQR100" i="2" s="1"/>
  <c r="AQS100" i="2" s="1"/>
  <c r="AQT100" i="2" s="1"/>
  <c r="AQU100" i="2" s="1"/>
  <c r="AQV100" i="2" s="1"/>
  <c r="AQW100" i="2" s="1"/>
  <c r="AQX100" i="2" s="1"/>
  <c r="AQY100" i="2" s="1"/>
  <c r="AQZ100" i="2" s="1"/>
  <c r="ARA100" i="2" s="1"/>
  <c r="ARB100" i="2" s="1"/>
  <c r="ARC100" i="2" s="1"/>
  <c r="ARD100" i="2" s="1"/>
  <c r="ARE100" i="2" s="1"/>
  <c r="ARF100" i="2" s="1"/>
  <c r="ARG100" i="2" s="1"/>
  <c r="ARH100" i="2" s="1"/>
  <c r="ARI100" i="2" s="1"/>
  <c r="ARJ100" i="2" s="1"/>
  <c r="F99" i="2" s="1"/>
</calcChain>
</file>

<file path=xl/sharedStrings.xml><?xml version="1.0" encoding="utf-8"?>
<sst xmlns="http://schemas.openxmlformats.org/spreadsheetml/2006/main" count="120" uniqueCount="120">
  <si>
    <t>Buy 1</t>
  </si>
  <si>
    <t>Buy 2</t>
  </si>
  <si>
    <t>Buy 3</t>
  </si>
  <si>
    <t>Sell 1</t>
  </si>
  <si>
    <t>Sell 2</t>
  </si>
  <si>
    <t>Sell 3</t>
  </si>
  <si>
    <t>QH</t>
  </si>
  <si>
    <t>Period (local)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</si>
  <si>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</si>
  <si>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</si>
  <si>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</si>
  <si>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</si>
  <si>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</si>
  <si>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</si>
  <si>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</si>
  <si>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</si>
  <si>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</si>
  <si>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</si>
  <si>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</si>
  <si>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</si>
  <si>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</si>
  <si>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</si>
  <si>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</si>
  <si>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</si>
  <si>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</si>
  <si>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</si>
  <si>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</si>
  <si>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</si>
  <si>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</si>
  <si>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</si>
  <si>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</si>
  <si>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</si>
  <si>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</si>
  <si>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</si>
  <si>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</si>
  <si>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</si>
  <si>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</si>
  <si>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</si>
  <si>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</si>
  <si>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</si>
  <si>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</si>
  <si>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</si>
  <si>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</si>
  <si>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</si>
  <si>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</si>
  <si>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</si>
  <si>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</si>
  <si>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</si>
  <si>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</si>
  <si>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</si>
  <si>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</si>
  <si>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</si>
  <si>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</si>
  <si>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</si>
  <si>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</si>
  <si>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</si>
  <si>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</si>
  <si>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</si>
  <si>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</si>
  <si>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</si>
  <si>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</si>
  <si>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</si>
  <si>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</si>
  <si>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</si>
  <si>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</si>
  <si>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</si>
  <si>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</si>
  <si>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</si>
  <si>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</si>
  <si>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</si>
  <si>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</si>
  <si>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</si>
  <si>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</si>
  <si>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</si>
  <si>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</si>
  <si>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</si>
  <si>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</si>
  <si>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</si>
  <si>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</si>
  <si>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</si>
  <si>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</si>
  <si>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</si>
  <si>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</si>
  <si>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</si>
  <si>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</si>
  <si>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</si>
  <si>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</si>
  <si>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</si>
  <si>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</si>
  <si>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</si>
  <si>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</si>
  <si>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</si>
  <si>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</si>
  <si>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</si>
  <si>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</si>
  <si>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</si>
  <si>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</si>
  <si>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</si>
  <si>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</si>
  <si>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</si>
  <si>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</si>
  <si>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</si>
  <si>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</si>
  <si>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</si>
  <si>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Output breakpoints (EUR/MWh) →</t>
  </si>
  <si>
    <t>Count:</t>
  </si>
  <si>
    <t>Buy 1 -0.1</t>
  </si>
  <si>
    <t>Buy 2 -0.1</t>
  </si>
  <si>
    <t>Buy 3 -0.1</t>
  </si>
  <si>
    <t>Sell 1 +0.1</t>
  </si>
  <si>
    <t>Sell 2 +0.1</t>
  </si>
  <si>
    <t>Sell 3 +0.1</t>
  </si>
  <si>
    <t>buy_price_1</t>
  </si>
  <si>
    <t>buy_price_2</t>
  </si>
  <si>
    <t>buy_price_3</t>
  </si>
  <si>
    <t>sell_price 1</t>
  </si>
  <si>
    <t>sell_price 2</t>
  </si>
  <si>
    <t>sell_price_3</t>
  </si>
  <si>
    <t>Lower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</si>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</sst>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1"/>
      <name val="Calibri"/>
      <family val="2"/>
      <charset val="204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CEAF7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5" fontId="1" fillId="3" borderId="0" xfId="0" applyNumberFormat="1" applyFont="1" applyFill="1"/>
    <xf numFmtId="0" fontId="3" fillId="4" borderId="6" xfId="0" applyFont="1" applyFill="1" applyBorder="1"/>
    <xf numFmtId="0" fontId="3" fillId="4" borderId="7" xfId="0" applyFont="1" applyFill="1" applyBorder="1"/>
    <xf numFmtId="0" fontId="3" fillId="5" borderId="6" xfId="0" applyFont="1" applyFill="1" applyBorder="1"/>
    <xf numFmtId="0" fontId="3" fillId="5" borderId="7" xfId="0" applyFont="1" applyFill="1" applyBorder="1"/>
    <xf numFmtId="2" fontId="0" fillId="4" borderId="2" xfId="0" applyNumberFormat="1" applyFill="1" applyBorder="1"/>
    <xf numFmtId="2" fontId="0" fillId="4" borderId="3" xfId="0" applyNumberFormat="1" applyFill="1" applyBorder="1"/>
    <xf numFmtId="2" fontId="0" fillId="5" borderId="2" xfId="0" applyNumberFormat="1" applyFill="1" applyBorder="1"/>
    <xf numFmtId="2" fontId="0" fillId="5" borderId="3" xfId="0" applyNumberFormat="1" applyFill="1" applyBorder="1"/>
    <xf numFmtId="2" fontId="0" fillId="4" borderId="4" xfId="0" applyNumberFormat="1" applyFill="1" applyBorder="1"/>
    <xf numFmtId="2" fontId="0" fillId="4" borderId="5" xfId="0" applyNumberFormat="1" applyFill="1" applyBorder="1"/>
    <xf numFmtId="2" fontId="0" fillId="5" borderId="4" xfId="0" applyNumberFormat="1" applyFill="1" applyBorder="1"/>
    <xf numFmtId="2" fontId="0" fillId="5" borderId="5" xfId="0" applyNumberFormat="1" applyFill="1" applyBorder="1"/>
    <xf numFmtId="0" fontId="4" fillId="0" borderId="0" xfId="0" applyFont="1"/>
    <xf numFmtId="165" fontId="0" fillId="6" borderId="0" xfId="0" applyNumberFormat="1" applyFill="1" applyAlignment="1">
      <alignment horizontal="right"/>
    </xf>
    <xf numFmtId="165" fontId="0" fillId="2" borderId="0" xfId="0" applyNumberFormat="1" applyFill="1" applyAlignment="1">
      <alignment horizontal="right"/>
    </xf>
    <xf numFmtId="0" fontId="0" fillId="0" borderId="6" xfId="0" applyBorder="1"/>
    <xf numFmtId="0" fontId="0" fillId="0" borderId="1" xfId="0" applyBorder="1"/>
    <xf numFmtId="2" fontId="0" fillId="0" borderId="4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J100"/>
  <sheetViews>
    <sheetView workbookViewId="0">
      <pane ySplit="1" topLeftCell="A2" activePane="bottomLeft" state="frozen"/>
      <selection pane="bottomLeft" activeCell="D9" sqref="D9"/>
    </sheetView>
  </sheetViews>
  <sheetFormatPr defaultRowHeight="15"/>
  <cols>
    <col min="1" max="6" width="14.5703125" customWidth="1"/>
    <col min="9" max="9" width="13" customWidth="1"/>
    <col min="10" max="1154" width="7" customWidth="1"/>
  </cols>
  <sheetData>
    <row r="1" spans="1:9">
      <c r="A1" s="15" t="s">
        <v>112</v>
      </c>
      <c r="B1" s="15" t="s">
        <v>113</v>
      </c>
      <c r="C1" s="15" t="s">
        <v>114</v>
      </c>
      <c r="D1" s="15" t="s">
        <v>115</v>
      </c>
      <c r="E1" s="15" t="s">
        <v>116</v>
      </c>
      <c r="F1" s="15" t="s">
        <v>117</v>
      </c>
      <c r="H1" s="1" t="s">
        <v>6</v>
      </c>
      <c r="I1" s="1" t="s">
        <v>7</v>
      </c>
    </row>
    <row r="2" spans="1:9">
      <c r="A2" s="16">
        <v>-650</v>
      </c>
      <c r="B2" s="16">
        <v>37.5</v>
      </c>
      <c r="C2" s="16">
        <v>47.5</v>
      </c>
      <c r="D2" s="17">
        <v>57.5</v>
      </c>
      <c r="E2" s="17">
        <v>67.5</v>
      </c>
      <c r="F2" s="17">
        <v>77.5</v>
      </c>
      <c r="H2">
        <v>1</v>
      </c>
      <c r="I2" t="s">
        <v>8</v>
      </c>
    </row>
    <row r="3" spans="1:9">
      <c r="A3" s="16">
        <v>30</v>
      </c>
      <c r="B3" s="16">
        <v>-601</v>
      </c>
      <c r="C3" s="16">
        <v>50</v>
      </c>
      <c r="D3" s="17">
        <v>60</v>
      </c>
      <c r="E3" s="17">
        <v>70</v>
      </c>
      <c r="F3" s="17">
        <v>80</v>
      </c>
      <c r="H3">
        <v>2</v>
      </c>
      <c r="I3" t="s">
        <v>9</v>
      </c>
    </row>
    <row r="4" spans="1:9">
      <c r="A4" s="16">
        <v>27.5</v>
      </c>
      <c r="B4" s="16">
        <v>37.5</v>
      </c>
      <c r="C4" s="16">
        <v>4001</v>
      </c>
      <c r="D4" s="17">
        <v>57.5</v>
      </c>
      <c r="E4" s="17">
        <v>67.5</v>
      </c>
      <c r="F4" s="17">
        <v>77.5</v>
      </c>
      <c r="H4">
        <v>3</v>
      </c>
      <c r="I4" t="s">
        <v>10</v>
      </c>
    </row>
    <row r="5" spans="1:9">
      <c r="A5" s="16">
        <v>22.5</v>
      </c>
      <c r="B5" s="16">
        <v>32.5</v>
      </c>
      <c r="C5" s="16">
        <v>42.5</v>
      </c>
      <c r="D5" s="17">
        <v>-700</v>
      </c>
      <c r="E5" s="17">
        <v>62.5</v>
      </c>
      <c r="F5" s="17">
        <v>72.5</v>
      </c>
      <c r="H5">
        <v>4</v>
      </c>
      <c r="I5" t="s">
        <v>11</v>
      </c>
    </row>
    <row r="6" spans="1:9">
      <c r="A6" s="16">
        <v>25</v>
      </c>
      <c r="B6" s="16">
        <v>35</v>
      </c>
      <c r="C6" s="16">
        <v>45</v>
      </c>
      <c r="D6" s="17">
        <v>55</v>
      </c>
      <c r="E6" s="17">
        <v>4000.1</v>
      </c>
      <c r="F6" s="17">
        <v>75</v>
      </c>
      <c r="H6">
        <v>5</v>
      </c>
      <c r="I6" t="s">
        <v>12</v>
      </c>
    </row>
    <row r="7" spans="1:9">
      <c r="A7" s="16">
        <v>25</v>
      </c>
      <c r="B7" s="16">
        <v>35</v>
      </c>
      <c r="C7" s="16">
        <v>45</v>
      </c>
      <c r="D7" s="17">
        <v>55</v>
      </c>
      <c r="E7" s="17">
        <v>65</v>
      </c>
      <c r="F7" s="17">
        <v>4500</v>
      </c>
      <c r="H7">
        <v>6</v>
      </c>
      <c r="I7" t="s">
        <v>13</v>
      </c>
    </row>
    <row r="8" spans="1:9">
      <c r="A8" s="16">
        <v>-600</v>
      </c>
      <c r="B8" s="16">
        <v>32.5</v>
      </c>
      <c r="C8" s="16">
        <v>42.5</v>
      </c>
      <c r="D8" s="17">
        <v>52.5</v>
      </c>
      <c r="E8" s="17">
        <v>62.5</v>
      </c>
      <c r="F8" s="17">
        <v>72.5</v>
      </c>
      <c r="H8">
        <v>7</v>
      </c>
      <c r="I8" t="s">
        <v>14</v>
      </c>
    </row>
    <row r="9" spans="1:9">
      <c r="A9" s="16">
        <v>17.5</v>
      </c>
      <c r="B9" s="16">
        <v>27.5</v>
      </c>
      <c r="C9" s="16">
        <v>37.5</v>
      </c>
      <c r="D9" s="17">
        <v>-600</v>
      </c>
      <c r="E9" s="17">
        <v>57.5</v>
      </c>
      <c r="F9" s="17">
        <v>67.5</v>
      </c>
      <c r="H9">
        <v>8</v>
      </c>
      <c r="I9" t="s">
        <v>15</v>
      </c>
    </row>
    <row r="10" spans="1:9">
      <c r="A10" s="16">
        <v>20</v>
      </c>
      <c r="B10" s="16">
        <v>30</v>
      </c>
      <c r="C10" s="16">
        <v>4000</v>
      </c>
      <c r="D10" s="17">
        <v>50</v>
      </c>
      <c r="E10" s="17">
        <v>60</v>
      </c>
      <c r="F10" s="17">
        <v>70</v>
      </c>
      <c r="H10">
        <v>9</v>
      </c>
      <c r="I10" t="s">
        <v>16</v>
      </c>
    </row>
    <row r="11" spans="1:9">
      <c r="A11" s="16">
        <v>22.5</v>
      </c>
      <c r="B11" s="16">
        <v>32.5</v>
      </c>
      <c r="C11" s="16">
        <v>42.5</v>
      </c>
      <c r="D11" s="17">
        <v>52.5</v>
      </c>
      <c r="E11" s="17">
        <v>62.5</v>
      </c>
      <c r="F11" s="17">
        <v>4000</v>
      </c>
      <c r="H11">
        <v>10</v>
      </c>
      <c r="I11" t="s">
        <v>17</v>
      </c>
    </row>
    <row r="12" spans="1:9">
      <c r="A12" s="16">
        <v>17.5</v>
      </c>
      <c r="B12" s="16">
        <v>50</v>
      </c>
      <c r="C12" s="16">
        <v>37.5</v>
      </c>
      <c r="D12" s="17">
        <v>47.5</v>
      </c>
      <c r="E12" s="17">
        <v>50</v>
      </c>
      <c r="F12" s="17">
        <v>67.5</v>
      </c>
      <c r="H12">
        <v>11</v>
      </c>
      <c r="I12" t="s">
        <v>18</v>
      </c>
    </row>
    <row r="13" spans="1:9">
      <c r="A13" s="16">
        <v>75</v>
      </c>
      <c r="B13" s="16">
        <v>25</v>
      </c>
      <c r="C13" s="16">
        <v>35</v>
      </c>
      <c r="D13" s="17">
        <v>75</v>
      </c>
      <c r="E13" s="17">
        <v>55</v>
      </c>
      <c r="F13" s="17">
        <v>65</v>
      </c>
      <c r="H13">
        <v>12</v>
      </c>
      <c r="I13" t="s">
        <v>19</v>
      </c>
    </row>
    <row r="14" spans="1:9">
      <c r="A14" s="16">
        <v>17.5</v>
      </c>
      <c r="B14" s="16">
        <v>27.5</v>
      </c>
      <c r="C14" s="16">
        <v>37.5</v>
      </c>
      <c r="D14" s="17">
        <v>47.5</v>
      </c>
      <c r="E14" s="17">
        <v>57.5</v>
      </c>
      <c r="F14" s="17">
        <v>67.5</v>
      </c>
      <c r="H14">
        <v>13</v>
      </c>
      <c r="I14" t="s">
        <v>20</v>
      </c>
    </row>
    <row r="15" spans="1:9">
      <c r="A15" s="16">
        <v>20</v>
      </c>
      <c r="B15" s="16">
        <v>30</v>
      </c>
      <c r="C15" s="16">
        <v>40</v>
      </c>
      <c r="D15" s="17">
        <v>50</v>
      </c>
      <c r="E15" s="17">
        <v>60</v>
      </c>
      <c r="F15" s="17">
        <v>70</v>
      </c>
      <c r="H15">
        <v>14</v>
      </c>
      <c r="I15" t="s">
        <v>21</v>
      </c>
    </row>
    <row r="16" spans="1:9">
      <c r="A16" s="16">
        <v>20</v>
      </c>
      <c r="B16" s="16">
        <v>30</v>
      </c>
      <c r="C16" s="16">
        <v>40</v>
      </c>
      <c r="D16" s="17">
        <v>50</v>
      </c>
      <c r="E16" s="17">
        <v>60</v>
      </c>
      <c r="F16" s="17">
        <v>70</v>
      </c>
      <c r="H16">
        <v>15</v>
      </c>
      <c r="I16" t="s">
        <v>22</v>
      </c>
    </row>
    <row r="17" spans="1:9">
      <c r="A17" s="16">
        <v>17.5</v>
      </c>
      <c r="B17" s="16">
        <v>27.5</v>
      </c>
      <c r="C17" s="16">
        <v>37.5</v>
      </c>
      <c r="D17" s="17">
        <v>47.5</v>
      </c>
      <c r="E17" s="17">
        <v>57.5</v>
      </c>
      <c r="F17" s="17">
        <v>67.5</v>
      </c>
      <c r="H17">
        <v>16</v>
      </c>
      <c r="I17" t="s">
        <v>23</v>
      </c>
    </row>
    <row r="18" spans="1:9">
      <c r="A18" s="16">
        <v>20</v>
      </c>
      <c r="B18" s="16">
        <v>30</v>
      </c>
      <c r="C18" s="16">
        <v>40</v>
      </c>
      <c r="D18" s="17">
        <v>50</v>
      </c>
      <c r="E18" s="17">
        <v>60</v>
      </c>
      <c r="F18" s="17">
        <v>70</v>
      </c>
      <c r="H18">
        <v>17</v>
      </c>
      <c r="I18" t="s">
        <v>24</v>
      </c>
    </row>
    <row r="19" spans="1:9">
      <c r="A19" s="16">
        <v>25</v>
      </c>
      <c r="B19" s="16">
        <v>35</v>
      </c>
      <c r="C19" s="16">
        <v>45</v>
      </c>
      <c r="D19" s="17">
        <v>55</v>
      </c>
      <c r="E19" s="17">
        <v>65</v>
      </c>
      <c r="F19" s="17">
        <v>75</v>
      </c>
      <c r="H19">
        <v>18</v>
      </c>
      <c r="I19" t="s">
        <v>25</v>
      </c>
    </row>
    <row r="20" spans="1:9">
      <c r="A20" s="16">
        <v>22.5</v>
      </c>
      <c r="B20" s="16">
        <v>32.5</v>
      </c>
      <c r="C20" s="16">
        <v>42.5</v>
      </c>
      <c r="D20" s="17">
        <v>52.5</v>
      </c>
      <c r="E20" s="17">
        <v>62.5</v>
      </c>
      <c r="F20" s="17">
        <v>72.5</v>
      </c>
      <c r="H20">
        <v>19</v>
      </c>
      <c r="I20" t="s">
        <v>26</v>
      </c>
    </row>
    <row r="21" spans="1:9">
      <c r="A21" s="16">
        <v>22.5</v>
      </c>
      <c r="B21" s="16">
        <v>32.5</v>
      </c>
      <c r="C21" s="16">
        <v>42.5</v>
      </c>
      <c r="D21" s="17">
        <v>52.5</v>
      </c>
      <c r="E21" s="17">
        <v>62.5</v>
      </c>
      <c r="F21" s="17">
        <v>72.5</v>
      </c>
      <c r="H21">
        <v>20</v>
      </c>
      <c r="I21" t="s">
        <v>27</v>
      </c>
    </row>
    <row r="22" spans="1:9">
      <c r="A22" s="16">
        <v>27.5</v>
      </c>
      <c r="B22" s="16">
        <v>37.5</v>
      </c>
      <c r="C22" s="16">
        <v>47.5</v>
      </c>
      <c r="D22" s="17">
        <v>57.5</v>
      </c>
      <c r="E22" s="17">
        <v>67.5</v>
      </c>
      <c r="F22" s="17">
        <v>77.5</v>
      </c>
      <c r="H22">
        <v>21</v>
      </c>
      <c r="I22" t="s">
        <v>28</v>
      </c>
    </row>
    <row r="23" spans="1:9">
      <c r="A23" s="16">
        <v>32.5</v>
      </c>
      <c r="B23" s="16">
        <v>42.5</v>
      </c>
      <c r="C23" s="16">
        <v>52.5</v>
      </c>
      <c r="D23" s="17">
        <v>62.5</v>
      </c>
      <c r="E23" s="17">
        <v>72.5</v>
      </c>
      <c r="F23" s="17">
        <v>82.5</v>
      </c>
      <c r="H23">
        <v>22</v>
      </c>
      <c r="I23" t="s">
        <v>29</v>
      </c>
    </row>
    <row r="24" spans="1:9">
      <c r="A24" s="16">
        <v>32.5</v>
      </c>
      <c r="B24" s="16">
        <v>42.5</v>
      </c>
      <c r="C24" s="16">
        <v>52.5</v>
      </c>
      <c r="D24" s="17">
        <v>62.5</v>
      </c>
      <c r="E24" s="17">
        <v>72.5</v>
      </c>
      <c r="F24" s="17">
        <v>82.5</v>
      </c>
      <c r="H24">
        <v>23</v>
      </c>
      <c r="I24" t="s">
        <v>30</v>
      </c>
    </row>
    <row r="25" spans="1:9">
      <c r="A25" s="16">
        <v>30</v>
      </c>
      <c r="B25" s="16">
        <v>40</v>
      </c>
      <c r="C25" s="16">
        <v>50</v>
      </c>
      <c r="D25" s="17">
        <v>60</v>
      </c>
      <c r="E25" s="17">
        <v>70</v>
      </c>
      <c r="F25" s="17">
        <v>80</v>
      </c>
      <c r="H25">
        <v>24</v>
      </c>
      <c r="I25" t="s">
        <v>31</v>
      </c>
    </row>
    <row r="26" spans="1:9">
      <c r="A26" s="16">
        <v>35</v>
      </c>
      <c r="B26" s="16">
        <v>45</v>
      </c>
      <c r="C26" s="16">
        <v>55</v>
      </c>
      <c r="D26" s="17">
        <v>65</v>
      </c>
      <c r="E26" s="17">
        <v>75</v>
      </c>
      <c r="F26" s="17">
        <v>85</v>
      </c>
      <c r="H26">
        <v>25</v>
      </c>
      <c r="I26" t="s">
        <v>32</v>
      </c>
    </row>
    <row r="27" spans="1:9">
      <c r="A27" s="16">
        <v>40</v>
      </c>
      <c r="B27" s="16">
        <v>50</v>
      </c>
      <c r="C27" s="16">
        <v>60</v>
      </c>
      <c r="D27" s="17">
        <v>70</v>
      </c>
      <c r="E27" s="17">
        <v>80</v>
      </c>
      <c r="F27" s="17">
        <v>90</v>
      </c>
      <c r="H27">
        <v>26</v>
      </c>
      <c r="I27" t="s">
        <v>33</v>
      </c>
    </row>
    <row r="28" spans="1:9">
      <c r="A28" s="16">
        <v>40</v>
      </c>
      <c r="B28" s="16">
        <v>50</v>
      </c>
      <c r="C28" s="16">
        <v>60</v>
      </c>
      <c r="D28" s="17">
        <v>70</v>
      </c>
      <c r="E28" s="17">
        <v>80</v>
      </c>
      <c r="F28" s="17">
        <v>90</v>
      </c>
      <c r="H28">
        <v>27</v>
      </c>
      <c r="I28" t="s">
        <v>34</v>
      </c>
    </row>
    <row r="29" spans="1:9">
      <c r="A29" s="16">
        <v>40</v>
      </c>
      <c r="B29" s="16">
        <v>50</v>
      </c>
      <c r="C29" s="16">
        <v>60</v>
      </c>
      <c r="D29" s="17">
        <v>70</v>
      </c>
      <c r="E29" s="17">
        <v>80</v>
      </c>
      <c r="F29" s="17">
        <v>90</v>
      </c>
      <c r="H29">
        <v>28</v>
      </c>
      <c r="I29" t="s">
        <v>35</v>
      </c>
    </row>
    <row r="30" spans="1:9">
      <c r="A30" s="16">
        <v>45</v>
      </c>
      <c r="B30" s="16">
        <v>55</v>
      </c>
      <c r="C30" s="16">
        <v>65</v>
      </c>
      <c r="D30" s="17">
        <v>75</v>
      </c>
      <c r="E30" s="17">
        <v>85</v>
      </c>
      <c r="F30" s="17">
        <v>95</v>
      </c>
      <c r="H30">
        <v>29</v>
      </c>
      <c r="I30" t="s">
        <v>36</v>
      </c>
    </row>
    <row r="31" spans="1:9">
      <c r="A31" s="16">
        <v>50</v>
      </c>
      <c r="B31" s="16">
        <v>60</v>
      </c>
      <c r="C31" s="16">
        <v>70</v>
      </c>
      <c r="D31" s="17">
        <v>80</v>
      </c>
      <c r="E31" s="17">
        <v>90</v>
      </c>
      <c r="F31" s="17">
        <v>100</v>
      </c>
      <c r="H31">
        <v>30</v>
      </c>
      <c r="I31" t="s">
        <v>37</v>
      </c>
    </row>
    <row r="32" spans="1:9">
      <c r="A32" s="16">
        <v>47.5</v>
      </c>
      <c r="B32" s="16">
        <v>57.5</v>
      </c>
      <c r="C32" s="16">
        <v>67.5</v>
      </c>
      <c r="D32" s="17">
        <v>77.5</v>
      </c>
      <c r="E32" s="17">
        <v>87.5</v>
      </c>
      <c r="F32" s="17">
        <v>97.5</v>
      </c>
      <c r="H32">
        <v>31</v>
      </c>
      <c r="I32" t="s">
        <v>38</v>
      </c>
    </row>
    <row r="33" spans="1:9">
      <c r="A33" s="16">
        <v>45</v>
      </c>
      <c r="B33" s="16">
        <v>55</v>
      </c>
      <c r="C33" s="16">
        <v>65</v>
      </c>
      <c r="D33" s="17">
        <v>75</v>
      </c>
      <c r="E33" s="17">
        <v>85</v>
      </c>
      <c r="F33" s="17">
        <v>95</v>
      </c>
      <c r="H33">
        <v>32</v>
      </c>
      <c r="I33" t="s">
        <v>39</v>
      </c>
    </row>
    <row r="34" spans="1:9">
      <c r="A34" s="16">
        <v>50</v>
      </c>
      <c r="B34" s="16">
        <v>60</v>
      </c>
      <c r="C34" s="16">
        <v>70</v>
      </c>
      <c r="D34" s="17">
        <v>80</v>
      </c>
      <c r="E34" s="17">
        <v>90</v>
      </c>
      <c r="F34" s="17">
        <v>100</v>
      </c>
      <c r="H34">
        <v>33</v>
      </c>
      <c r="I34" t="s">
        <v>40</v>
      </c>
    </row>
    <row r="35" spans="1:9">
      <c r="A35" s="16">
        <v>50</v>
      </c>
      <c r="B35" s="16">
        <v>60</v>
      </c>
      <c r="C35" s="16">
        <v>70</v>
      </c>
      <c r="D35" s="17">
        <v>80</v>
      </c>
      <c r="E35" s="17">
        <v>90</v>
      </c>
      <c r="F35" s="17">
        <v>100</v>
      </c>
      <c r="H35">
        <v>34</v>
      </c>
      <c r="I35" t="s">
        <v>41</v>
      </c>
    </row>
    <row r="36" spans="1:9">
      <c r="A36" s="16">
        <v>47.5</v>
      </c>
      <c r="B36" s="16">
        <v>57.5</v>
      </c>
      <c r="C36" s="16">
        <v>67.5</v>
      </c>
      <c r="D36" s="17">
        <v>77.5</v>
      </c>
      <c r="E36" s="17">
        <v>87.5</v>
      </c>
      <c r="F36" s="17">
        <v>97.5</v>
      </c>
      <c r="H36">
        <v>35</v>
      </c>
      <c r="I36" t="s">
        <v>42</v>
      </c>
    </row>
    <row r="37" spans="1:9">
      <c r="A37" s="16">
        <v>42.5</v>
      </c>
      <c r="B37" s="16">
        <v>52.5</v>
      </c>
      <c r="C37" s="16">
        <v>62.5</v>
      </c>
      <c r="D37" s="17">
        <v>72.5</v>
      </c>
      <c r="E37" s="17">
        <v>82.5</v>
      </c>
      <c r="F37" s="17">
        <v>92.5</v>
      </c>
      <c r="H37">
        <v>36</v>
      </c>
      <c r="I37" t="s">
        <v>43</v>
      </c>
    </row>
    <row r="38" spans="1:9">
      <c r="A38" s="16">
        <v>42.5</v>
      </c>
      <c r="B38" s="16">
        <v>52.5</v>
      </c>
      <c r="C38" s="16">
        <v>62.5</v>
      </c>
      <c r="D38" s="17">
        <v>72.5</v>
      </c>
      <c r="E38" s="17">
        <v>82.5</v>
      </c>
      <c r="F38" s="17">
        <v>92.5</v>
      </c>
      <c r="H38">
        <v>37</v>
      </c>
      <c r="I38" t="s">
        <v>44</v>
      </c>
    </row>
    <row r="39" spans="1:9">
      <c r="A39" s="16">
        <v>42.5</v>
      </c>
      <c r="B39" s="16">
        <v>52.5</v>
      </c>
      <c r="C39" s="16">
        <v>62.5</v>
      </c>
      <c r="D39" s="17">
        <v>72.5</v>
      </c>
      <c r="E39" s="17">
        <v>82.5</v>
      </c>
      <c r="F39" s="17">
        <v>92.5</v>
      </c>
      <c r="H39">
        <v>38</v>
      </c>
      <c r="I39" t="s">
        <v>45</v>
      </c>
    </row>
    <row r="40" spans="1:9">
      <c r="A40" s="16">
        <v>37.5</v>
      </c>
      <c r="B40" s="16">
        <v>47.5</v>
      </c>
      <c r="C40" s="16">
        <v>57.5</v>
      </c>
      <c r="D40" s="17">
        <v>67.5</v>
      </c>
      <c r="E40" s="17">
        <v>77.5</v>
      </c>
      <c r="F40" s="17">
        <v>87.5</v>
      </c>
      <c r="H40">
        <v>39</v>
      </c>
      <c r="I40" t="s">
        <v>46</v>
      </c>
    </row>
    <row r="41" spans="1:9">
      <c r="A41" s="16">
        <v>32.5</v>
      </c>
      <c r="B41" s="16">
        <v>42.5</v>
      </c>
      <c r="C41" s="16">
        <v>52.5</v>
      </c>
      <c r="D41" s="17">
        <v>62.5</v>
      </c>
      <c r="E41" s="17">
        <v>72.5</v>
      </c>
      <c r="F41" s="17">
        <v>82.5</v>
      </c>
      <c r="H41">
        <v>40</v>
      </c>
      <c r="I41" t="s">
        <v>47</v>
      </c>
    </row>
    <row r="42" spans="1:9">
      <c r="A42" s="16">
        <v>32.5</v>
      </c>
      <c r="B42" s="16">
        <v>42.5</v>
      </c>
      <c r="C42" s="16">
        <v>52.5</v>
      </c>
      <c r="D42" s="17">
        <v>62.5</v>
      </c>
      <c r="E42" s="17">
        <v>72.5</v>
      </c>
      <c r="F42" s="17">
        <v>82.5</v>
      </c>
      <c r="H42">
        <v>41</v>
      </c>
      <c r="I42" t="s">
        <v>48</v>
      </c>
    </row>
    <row r="43" spans="1:9">
      <c r="A43" s="16">
        <v>30</v>
      </c>
      <c r="B43" s="16">
        <v>40</v>
      </c>
      <c r="C43" s="16">
        <v>50</v>
      </c>
      <c r="D43" s="17">
        <v>60</v>
      </c>
      <c r="E43" s="17">
        <v>70</v>
      </c>
      <c r="F43" s="17">
        <v>80</v>
      </c>
      <c r="H43">
        <v>42</v>
      </c>
      <c r="I43" t="s">
        <v>49</v>
      </c>
    </row>
    <row r="44" spans="1:9">
      <c r="A44" s="16">
        <v>25</v>
      </c>
      <c r="B44" s="16">
        <v>35</v>
      </c>
      <c r="C44" s="16">
        <v>45</v>
      </c>
      <c r="D44" s="17">
        <v>55</v>
      </c>
      <c r="E44" s="17">
        <v>65</v>
      </c>
      <c r="F44" s="17">
        <v>75</v>
      </c>
      <c r="H44">
        <v>43</v>
      </c>
      <c r="I44" t="s">
        <v>50</v>
      </c>
    </row>
    <row r="45" spans="1:9">
      <c r="A45" s="16">
        <v>20</v>
      </c>
      <c r="B45" s="16">
        <v>30</v>
      </c>
      <c r="C45" s="16">
        <v>40</v>
      </c>
      <c r="D45" s="17">
        <v>50</v>
      </c>
      <c r="E45" s="17">
        <v>60</v>
      </c>
      <c r="F45" s="17">
        <v>70</v>
      </c>
      <c r="H45">
        <v>44</v>
      </c>
      <c r="I45" t="s">
        <v>51</v>
      </c>
    </row>
    <row r="46" spans="1:9">
      <c r="A46" s="16">
        <v>17.5</v>
      </c>
      <c r="B46" s="16">
        <v>27.5</v>
      </c>
      <c r="C46" s="16">
        <v>37.5</v>
      </c>
      <c r="D46" s="17">
        <v>47.5</v>
      </c>
      <c r="E46" s="17">
        <v>57.5</v>
      </c>
      <c r="F46" s="17">
        <v>67.5</v>
      </c>
      <c r="H46">
        <v>45</v>
      </c>
      <c r="I46" t="s">
        <v>52</v>
      </c>
    </row>
    <row r="47" spans="1:9">
      <c r="A47" s="16">
        <v>17.5</v>
      </c>
      <c r="B47" s="16">
        <v>27.5</v>
      </c>
      <c r="C47" s="16">
        <v>37.5</v>
      </c>
      <c r="D47" s="17">
        <v>47.5</v>
      </c>
      <c r="E47" s="17">
        <v>57.5</v>
      </c>
      <c r="F47" s="17">
        <v>67.5</v>
      </c>
      <c r="H47">
        <v>46</v>
      </c>
      <c r="I47" t="s">
        <v>53</v>
      </c>
    </row>
    <row r="48" spans="1:9">
      <c r="A48" s="16">
        <v>10</v>
      </c>
      <c r="B48" s="16">
        <v>20</v>
      </c>
      <c r="C48" s="16">
        <v>30</v>
      </c>
      <c r="D48" s="17">
        <v>40</v>
      </c>
      <c r="E48" s="17">
        <v>50</v>
      </c>
      <c r="F48" s="17">
        <v>60</v>
      </c>
      <c r="H48">
        <v>47</v>
      </c>
      <c r="I48" t="s">
        <v>54</v>
      </c>
    </row>
    <row r="49" spans="1:9">
      <c r="A49" s="16">
        <v>5</v>
      </c>
      <c r="B49" s="16">
        <v>15</v>
      </c>
      <c r="C49" s="16">
        <v>25</v>
      </c>
      <c r="D49" s="17">
        <v>35</v>
      </c>
      <c r="E49" s="17">
        <v>45</v>
      </c>
      <c r="F49" s="17">
        <v>55</v>
      </c>
      <c r="H49">
        <v>48</v>
      </c>
      <c r="I49" t="s">
        <v>55</v>
      </c>
    </row>
    <row r="50" spans="1:9">
      <c r="A50" s="16">
        <v>5</v>
      </c>
      <c r="B50" s="16">
        <v>15</v>
      </c>
      <c r="C50" s="16">
        <v>25</v>
      </c>
      <c r="D50" s="17">
        <v>35</v>
      </c>
      <c r="E50" s="17">
        <v>45</v>
      </c>
      <c r="F50" s="17">
        <v>55</v>
      </c>
      <c r="H50">
        <v>49</v>
      </c>
      <c r="I50" t="s">
        <v>56</v>
      </c>
    </row>
    <row r="51" spans="1:9">
      <c r="A51" s="16">
        <v>5</v>
      </c>
      <c r="B51" s="16">
        <v>15</v>
      </c>
      <c r="C51" s="16">
        <v>25</v>
      </c>
      <c r="D51" s="17">
        <v>35</v>
      </c>
      <c r="E51" s="17">
        <v>45</v>
      </c>
      <c r="F51" s="17">
        <v>55</v>
      </c>
      <c r="H51">
        <v>50</v>
      </c>
      <c r="I51" t="s">
        <v>57</v>
      </c>
    </row>
    <row r="52" spans="1:9">
      <c r="A52" s="16">
        <v>0</v>
      </c>
      <c r="B52" s="16">
        <v>10</v>
      </c>
      <c r="C52" s="16">
        <v>20</v>
      </c>
      <c r="D52" s="17">
        <v>30</v>
      </c>
      <c r="E52" s="17">
        <v>40</v>
      </c>
      <c r="F52" s="17">
        <v>50</v>
      </c>
      <c r="H52">
        <v>51</v>
      </c>
      <c r="I52" t="s">
        <v>58</v>
      </c>
    </row>
    <row r="53" spans="1:9">
      <c r="A53" s="16">
        <v>-5</v>
      </c>
      <c r="B53" s="16">
        <v>5</v>
      </c>
      <c r="C53" s="16">
        <v>15</v>
      </c>
      <c r="D53" s="17">
        <v>25</v>
      </c>
      <c r="E53" s="17">
        <v>35</v>
      </c>
      <c r="F53" s="17">
        <v>45</v>
      </c>
      <c r="H53">
        <v>52</v>
      </c>
      <c r="I53" t="s">
        <v>59</v>
      </c>
    </row>
    <row r="54" spans="1:9">
      <c r="A54" s="16">
        <v>-5</v>
      </c>
      <c r="B54" s="16">
        <v>5</v>
      </c>
      <c r="C54" s="16">
        <v>15</v>
      </c>
      <c r="D54" s="17">
        <v>25</v>
      </c>
      <c r="E54" s="17">
        <v>35</v>
      </c>
      <c r="F54" s="17">
        <v>45</v>
      </c>
      <c r="H54">
        <v>53</v>
      </c>
      <c r="I54" t="s">
        <v>60</v>
      </c>
    </row>
    <row r="55" spans="1:9">
      <c r="A55" s="16">
        <v>-2.5</v>
      </c>
      <c r="B55" s="16">
        <v>7.5</v>
      </c>
      <c r="C55" s="16">
        <v>17.5</v>
      </c>
      <c r="D55" s="17">
        <v>27.5</v>
      </c>
      <c r="E55" s="17">
        <v>37.5</v>
      </c>
      <c r="F55" s="17">
        <v>47.5</v>
      </c>
      <c r="H55">
        <v>54</v>
      </c>
      <c r="I55" t="s">
        <v>61</v>
      </c>
    </row>
    <row r="56" spans="1:9">
      <c r="A56" s="16">
        <v>-5</v>
      </c>
      <c r="B56" s="16">
        <v>5</v>
      </c>
      <c r="C56" s="16">
        <v>15</v>
      </c>
      <c r="D56" s="17">
        <v>25</v>
      </c>
      <c r="E56" s="17">
        <v>35</v>
      </c>
      <c r="F56" s="17">
        <v>45</v>
      </c>
      <c r="H56">
        <v>55</v>
      </c>
      <c r="I56" t="s">
        <v>62</v>
      </c>
    </row>
    <row r="57" spans="1:9">
      <c r="A57" s="16">
        <v>-7.5</v>
      </c>
      <c r="B57" s="16">
        <v>2.5</v>
      </c>
      <c r="C57" s="16">
        <v>12.5</v>
      </c>
      <c r="D57" s="17">
        <v>22.5</v>
      </c>
      <c r="E57" s="17">
        <v>32.5</v>
      </c>
      <c r="F57" s="17">
        <v>42.5</v>
      </c>
      <c r="H57">
        <v>56</v>
      </c>
      <c r="I57" t="s">
        <v>63</v>
      </c>
    </row>
    <row r="58" spans="1:9">
      <c r="A58" s="16">
        <v>-5</v>
      </c>
      <c r="B58" s="16">
        <v>5</v>
      </c>
      <c r="C58" s="16">
        <v>15</v>
      </c>
      <c r="D58" s="17">
        <v>25</v>
      </c>
      <c r="E58" s="17">
        <v>35</v>
      </c>
      <c r="F58" s="17">
        <v>45</v>
      </c>
      <c r="H58">
        <v>57</v>
      </c>
      <c r="I58" t="s">
        <v>64</v>
      </c>
    </row>
    <row r="59" spans="1:9">
      <c r="A59" s="16">
        <v>0</v>
      </c>
      <c r="B59" s="16">
        <v>10</v>
      </c>
      <c r="C59" s="16">
        <v>20</v>
      </c>
      <c r="D59" s="17">
        <v>30</v>
      </c>
      <c r="E59" s="17">
        <v>40</v>
      </c>
      <c r="F59" s="17">
        <v>50</v>
      </c>
      <c r="H59">
        <v>58</v>
      </c>
      <c r="I59" t="s">
        <v>65</v>
      </c>
    </row>
    <row r="60" spans="1:9">
      <c r="A60" s="16">
        <v>0</v>
      </c>
      <c r="B60" s="16">
        <v>10</v>
      </c>
      <c r="C60" s="16">
        <v>20</v>
      </c>
      <c r="D60" s="17">
        <v>30</v>
      </c>
      <c r="E60" s="17">
        <v>40</v>
      </c>
      <c r="F60" s="17">
        <v>50</v>
      </c>
      <c r="H60">
        <v>59</v>
      </c>
      <c r="I60" t="s">
        <v>66</v>
      </c>
    </row>
    <row r="61" spans="1:9">
      <c r="A61" s="16">
        <v>0</v>
      </c>
      <c r="B61" s="16">
        <v>10</v>
      </c>
      <c r="C61" s="16">
        <v>20</v>
      </c>
      <c r="D61" s="17">
        <v>30</v>
      </c>
      <c r="E61" s="17">
        <v>40</v>
      </c>
      <c r="F61" s="17">
        <v>50</v>
      </c>
      <c r="H61">
        <v>60</v>
      </c>
      <c r="I61" t="s">
        <v>67</v>
      </c>
    </row>
    <row r="62" spans="1:9">
      <c r="A62" s="16">
        <v>7.5</v>
      </c>
      <c r="B62" s="16">
        <v>17.5</v>
      </c>
      <c r="C62" s="16">
        <v>27.5</v>
      </c>
      <c r="D62" s="17">
        <v>37.5</v>
      </c>
      <c r="E62" s="17">
        <v>47.5</v>
      </c>
      <c r="F62" s="17">
        <v>57.5</v>
      </c>
      <c r="H62">
        <v>61</v>
      </c>
      <c r="I62" t="s">
        <v>68</v>
      </c>
    </row>
    <row r="63" spans="1:9">
      <c r="A63" s="16">
        <v>15</v>
      </c>
      <c r="B63" s="16">
        <v>25</v>
      </c>
      <c r="C63" s="16">
        <v>35</v>
      </c>
      <c r="D63" s="17">
        <v>45</v>
      </c>
      <c r="E63" s="17">
        <v>55</v>
      </c>
      <c r="F63" s="17">
        <v>65</v>
      </c>
      <c r="H63">
        <v>62</v>
      </c>
      <c r="I63" t="s">
        <v>69</v>
      </c>
    </row>
    <row r="64" spans="1:9">
      <c r="A64" s="16">
        <v>15</v>
      </c>
      <c r="B64" s="16">
        <v>25</v>
      </c>
      <c r="C64" s="16">
        <v>35</v>
      </c>
      <c r="D64" s="17">
        <v>45</v>
      </c>
      <c r="E64" s="17">
        <v>55</v>
      </c>
      <c r="F64" s="17">
        <v>65</v>
      </c>
      <c r="H64">
        <v>63</v>
      </c>
      <c r="I64" t="s">
        <v>70</v>
      </c>
    </row>
    <row r="65" spans="1:9">
      <c r="A65" s="16">
        <v>20</v>
      </c>
      <c r="B65" s="16">
        <v>30</v>
      </c>
      <c r="C65" s="16">
        <v>40</v>
      </c>
      <c r="D65" s="17">
        <v>50</v>
      </c>
      <c r="E65" s="17">
        <v>60</v>
      </c>
      <c r="F65" s="17">
        <v>70</v>
      </c>
      <c r="H65">
        <v>64</v>
      </c>
      <c r="I65" t="s">
        <v>71</v>
      </c>
    </row>
    <row r="66" spans="1:9">
      <c r="A66" s="16">
        <v>27.5</v>
      </c>
      <c r="B66" s="16">
        <v>37.5</v>
      </c>
      <c r="C66" s="16">
        <v>47.5</v>
      </c>
      <c r="D66" s="17">
        <v>57.5</v>
      </c>
      <c r="E66" s="17">
        <v>67.5</v>
      </c>
      <c r="F66" s="17">
        <v>77.5</v>
      </c>
      <c r="H66">
        <v>65</v>
      </c>
      <c r="I66" t="s">
        <v>72</v>
      </c>
    </row>
    <row r="67" spans="1:9">
      <c r="A67" s="16">
        <v>35</v>
      </c>
      <c r="B67" s="16">
        <v>45</v>
      </c>
      <c r="C67" s="16">
        <v>55</v>
      </c>
      <c r="D67" s="17">
        <v>65</v>
      </c>
      <c r="E67" s="17">
        <v>75</v>
      </c>
      <c r="F67" s="17">
        <v>85</v>
      </c>
      <c r="H67">
        <v>66</v>
      </c>
      <c r="I67" t="s">
        <v>73</v>
      </c>
    </row>
    <row r="68" spans="1:9">
      <c r="A68" s="16">
        <v>40</v>
      </c>
      <c r="B68" s="16">
        <v>50</v>
      </c>
      <c r="C68" s="16">
        <v>60</v>
      </c>
      <c r="D68" s="17">
        <v>70</v>
      </c>
      <c r="E68" s="17">
        <v>80</v>
      </c>
      <c r="F68" s="17">
        <v>90</v>
      </c>
      <c r="H68">
        <v>67</v>
      </c>
      <c r="I68" t="s">
        <v>74</v>
      </c>
    </row>
    <row r="69" spans="1:9">
      <c r="A69" s="16">
        <v>42.5</v>
      </c>
      <c r="B69" s="16">
        <v>52.5</v>
      </c>
      <c r="C69" s="16">
        <v>62.5</v>
      </c>
      <c r="D69" s="17">
        <v>72.5</v>
      </c>
      <c r="E69" s="17">
        <v>82.5</v>
      </c>
      <c r="F69" s="17">
        <v>92.5</v>
      </c>
      <c r="H69">
        <v>68</v>
      </c>
      <c r="I69" t="s">
        <v>75</v>
      </c>
    </row>
    <row r="70" spans="1:9">
      <c r="A70" s="16">
        <v>52.5</v>
      </c>
      <c r="B70" s="16">
        <v>62.5</v>
      </c>
      <c r="C70" s="16">
        <v>72.5</v>
      </c>
      <c r="D70" s="17">
        <v>82.5</v>
      </c>
      <c r="E70" s="17">
        <v>92.5</v>
      </c>
      <c r="F70" s="17">
        <v>102.5</v>
      </c>
      <c r="H70">
        <v>69</v>
      </c>
      <c r="I70" t="s">
        <v>76</v>
      </c>
    </row>
    <row r="71" spans="1:9">
      <c r="A71" s="16">
        <v>62.5</v>
      </c>
      <c r="B71" s="16">
        <v>72.5</v>
      </c>
      <c r="C71" s="16">
        <v>82.5</v>
      </c>
      <c r="D71" s="17">
        <v>92.5</v>
      </c>
      <c r="E71" s="17">
        <v>102.5</v>
      </c>
      <c r="F71" s="17">
        <v>112.5</v>
      </c>
      <c r="H71">
        <v>70</v>
      </c>
      <c r="I71" t="s">
        <v>77</v>
      </c>
    </row>
    <row r="72" spans="1:9">
      <c r="A72" s="16">
        <v>67.5</v>
      </c>
      <c r="B72" s="16">
        <v>77.5</v>
      </c>
      <c r="C72" s="16">
        <v>87.5</v>
      </c>
      <c r="D72" s="17">
        <v>97.5</v>
      </c>
      <c r="E72" s="17">
        <v>107.5</v>
      </c>
      <c r="F72" s="17">
        <v>117.5</v>
      </c>
      <c r="H72">
        <v>71</v>
      </c>
      <c r="I72" t="s">
        <v>78</v>
      </c>
    </row>
    <row r="73" spans="1:9">
      <c r="A73" s="16">
        <v>70</v>
      </c>
      <c r="B73" s="16">
        <v>80</v>
      </c>
      <c r="C73" s="16">
        <v>90</v>
      </c>
      <c r="D73" s="17">
        <v>100</v>
      </c>
      <c r="E73" s="17">
        <v>110</v>
      </c>
      <c r="F73" s="17">
        <v>120</v>
      </c>
      <c r="H73">
        <v>72</v>
      </c>
      <c r="I73" t="s">
        <v>79</v>
      </c>
    </row>
    <row r="74" spans="1:9">
      <c r="A74" s="16">
        <v>77.5</v>
      </c>
      <c r="B74" s="16">
        <v>87.5</v>
      </c>
      <c r="C74" s="16">
        <v>97.5</v>
      </c>
      <c r="D74" s="17">
        <v>107.5</v>
      </c>
      <c r="E74" s="17">
        <v>117.5</v>
      </c>
      <c r="F74" s="17">
        <v>127.5</v>
      </c>
      <c r="H74">
        <v>73</v>
      </c>
      <c r="I74" t="s">
        <v>80</v>
      </c>
    </row>
    <row r="75" spans="1:9">
      <c r="A75" s="16">
        <v>85</v>
      </c>
      <c r="B75" s="16">
        <v>95</v>
      </c>
      <c r="C75" s="16">
        <v>105</v>
      </c>
      <c r="D75" s="17">
        <v>115</v>
      </c>
      <c r="E75" s="17">
        <v>125</v>
      </c>
      <c r="F75" s="17">
        <v>135</v>
      </c>
      <c r="H75">
        <v>74</v>
      </c>
      <c r="I75" t="s">
        <v>81</v>
      </c>
    </row>
    <row r="76" spans="1:9">
      <c r="A76" s="16">
        <v>85</v>
      </c>
      <c r="B76" s="16">
        <v>95</v>
      </c>
      <c r="C76" s="16">
        <v>105</v>
      </c>
      <c r="D76" s="17">
        <v>115</v>
      </c>
      <c r="E76" s="17">
        <v>125</v>
      </c>
      <c r="F76" s="17">
        <v>135</v>
      </c>
      <c r="H76">
        <v>75</v>
      </c>
      <c r="I76" t="s">
        <v>82</v>
      </c>
    </row>
    <row r="77" spans="1:9">
      <c r="A77" s="16">
        <v>85</v>
      </c>
      <c r="B77" s="16">
        <v>95</v>
      </c>
      <c r="C77" s="16">
        <v>105</v>
      </c>
      <c r="D77" s="17">
        <v>115</v>
      </c>
      <c r="E77" s="17">
        <v>125</v>
      </c>
      <c r="F77" s="17">
        <v>135</v>
      </c>
      <c r="H77">
        <v>76</v>
      </c>
      <c r="I77" t="s">
        <v>83</v>
      </c>
    </row>
    <row r="78" spans="1:9">
      <c r="A78" s="16">
        <v>90</v>
      </c>
      <c r="B78" s="16">
        <v>100</v>
      </c>
      <c r="C78" s="16">
        <v>110</v>
      </c>
      <c r="D78" s="17">
        <v>120</v>
      </c>
      <c r="E78" s="17">
        <v>130</v>
      </c>
      <c r="F78" s="17">
        <v>140</v>
      </c>
      <c r="H78">
        <v>77</v>
      </c>
      <c r="I78" t="s">
        <v>84</v>
      </c>
    </row>
    <row r="79" spans="1:9">
      <c r="A79" s="16">
        <v>92.5</v>
      </c>
      <c r="B79" s="16">
        <v>102.5</v>
      </c>
      <c r="C79" s="16">
        <v>112.5</v>
      </c>
      <c r="D79" s="17">
        <v>122.5</v>
      </c>
      <c r="E79" s="17">
        <v>132.5</v>
      </c>
      <c r="F79" s="17">
        <v>142.5</v>
      </c>
      <c r="H79">
        <v>78</v>
      </c>
      <c r="I79" t="s">
        <v>85</v>
      </c>
    </row>
    <row r="80" spans="1:9">
      <c r="A80" s="16">
        <v>87.5</v>
      </c>
      <c r="B80" s="16">
        <v>97.5</v>
      </c>
      <c r="C80" s="16">
        <v>107.5</v>
      </c>
      <c r="D80" s="17">
        <v>117.5</v>
      </c>
      <c r="E80" s="17">
        <v>127.5</v>
      </c>
      <c r="F80" s="17">
        <v>137.5</v>
      </c>
      <c r="H80">
        <v>79</v>
      </c>
      <c r="I80" t="s">
        <v>86</v>
      </c>
    </row>
    <row r="81" spans="1:9">
      <c r="A81" s="16">
        <v>82.5</v>
      </c>
      <c r="B81" s="16">
        <v>92.5</v>
      </c>
      <c r="C81" s="16">
        <v>102.5</v>
      </c>
      <c r="D81" s="17">
        <v>112.5</v>
      </c>
      <c r="E81" s="17">
        <v>122.5</v>
      </c>
      <c r="F81" s="17">
        <v>132.5</v>
      </c>
      <c r="H81">
        <v>80</v>
      </c>
      <c r="I81" t="s">
        <v>87</v>
      </c>
    </row>
    <row r="82" spans="1:9">
      <c r="A82" s="16">
        <v>80</v>
      </c>
      <c r="B82" s="16">
        <v>90</v>
      </c>
      <c r="C82" s="16">
        <v>100</v>
      </c>
      <c r="D82" s="17">
        <v>110</v>
      </c>
      <c r="E82" s="17">
        <v>120</v>
      </c>
      <c r="F82" s="17">
        <v>130</v>
      </c>
      <c r="H82">
        <v>81</v>
      </c>
      <c r="I82" t="s">
        <v>88</v>
      </c>
    </row>
    <row r="83" spans="1:9">
      <c r="A83" s="16">
        <v>77.5</v>
      </c>
      <c r="B83" s="16">
        <v>87.5</v>
      </c>
      <c r="C83" s="16">
        <v>97.5</v>
      </c>
      <c r="D83" s="17">
        <v>107.5</v>
      </c>
      <c r="E83" s="17">
        <v>117.5</v>
      </c>
      <c r="F83" s="17">
        <v>127.5</v>
      </c>
      <c r="H83">
        <v>82</v>
      </c>
      <c r="I83" t="s">
        <v>89</v>
      </c>
    </row>
    <row r="84" spans="1:9">
      <c r="A84" s="16">
        <v>70</v>
      </c>
      <c r="B84" s="16">
        <v>80</v>
      </c>
      <c r="C84" s="16">
        <v>90</v>
      </c>
      <c r="D84" s="17">
        <v>100</v>
      </c>
      <c r="E84" s="17">
        <v>110</v>
      </c>
      <c r="F84" s="17">
        <v>120</v>
      </c>
      <c r="H84">
        <v>83</v>
      </c>
      <c r="I84" t="s">
        <v>90</v>
      </c>
    </row>
    <row r="85" spans="1:9">
      <c r="A85" s="16">
        <v>62.5</v>
      </c>
      <c r="B85" s="16">
        <v>72.5</v>
      </c>
      <c r="C85" s="16">
        <v>82.5</v>
      </c>
      <c r="D85" s="17">
        <v>92.5</v>
      </c>
      <c r="E85" s="17">
        <v>102.5</v>
      </c>
      <c r="F85" s="17">
        <v>112.5</v>
      </c>
      <c r="H85">
        <v>84</v>
      </c>
      <c r="I85" t="s">
        <v>91</v>
      </c>
    </row>
    <row r="86" spans="1:9">
      <c r="A86" s="16">
        <v>60</v>
      </c>
      <c r="B86" s="16">
        <v>70</v>
      </c>
      <c r="C86" s="16">
        <v>80</v>
      </c>
      <c r="D86" s="17">
        <v>90</v>
      </c>
      <c r="E86" s="17">
        <v>100</v>
      </c>
      <c r="F86" s="17">
        <v>110</v>
      </c>
      <c r="H86">
        <v>85</v>
      </c>
      <c r="I86" t="s">
        <v>92</v>
      </c>
    </row>
    <row r="87" spans="1:9">
      <c r="A87" s="16">
        <v>57.5</v>
      </c>
      <c r="B87" s="16">
        <v>67.5</v>
      </c>
      <c r="C87" s="16">
        <v>77.5</v>
      </c>
      <c r="D87" s="17">
        <v>87.5</v>
      </c>
      <c r="E87" s="17">
        <v>97.5</v>
      </c>
      <c r="F87" s="17">
        <v>107.5</v>
      </c>
      <c r="H87">
        <v>86</v>
      </c>
      <c r="I87" t="s">
        <v>93</v>
      </c>
    </row>
    <row r="88" spans="1:9">
      <c r="A88" s="16">
        <v>52.5</v>
      </c>
      <c r="B88" s="16">
        <v>62.5</v>
      </c>
      <c r="C88" s="16">
        <v>72.5</v>
      </c>
      <c r="D88" s="17">
        <v>82.5</v>
      </c>
      <c r="E88" s="17">
        <v>92.5</v>
      </c>
      <c r="F88" s="17">
        <v>102.5</v>
      </c>
      <c r="H88">
        <v>87</v>
      </c>
      <c r="I88" t="s">
        <v>94</v>
      </c>
    </row>
    <row r="89" spans="1:9">
      <c r="A89" s="16">
        <v>45</v>
      </c>
      <c r="B89" s="16">
        <v>55</v>
      </c>
      <c r="C89" s="16">
        <v>65</v>
      </c>
      <c r="D89" s="17">
        <v>75</v>
      </c>
      <c r="E89" s="17">
        <v>85</v>
      </c>
      <c r="F89" s="17">
        <v>95</v>
      </c>
      <c r="H89">
        <v>88</v>
      </c>
      <c r="I89" t="s">
        <v>95</v>
      </c>
    </row>
    <row r="90" spans="1:9">
      <c r="A90" s="16">
        <v>45</v>
      </c>
      <c r="B90" s="16">
        <v>55</v>
      </c>
      <c r="C90" s="16">
        <v>65</v>
      </c>
      <c r="D90" s="17">
        <v>75</v>
      </c>
      <c r="E90" s="17">
        <v>85</v>
      </c>
      <c r="F90" s="17">
        <v>95</v>
      </c>
      <c r="H90">
        <v>89</v>
      </c>
      <c r="I90" t="s">
        <v>96</v>
      </c>
    </row>
    <row r="91" spans="1:9">
      <c r="A91" s="16">
        <v>45</v>
      </c>
      <c r="B91" s="16">
        <v>55</v>
      </c>
      <c r="C91" s="16">
        <v>65</v>
      </c>
      <c r="D91" s="17">
        <v>75</v>
      </c>
      <c r="E91" s="17">
        <v>85</v>
      </c>
      <c r="F91" s="17">
        <v>95</v>
      </c>
      <c r="H91">
        <v>90</v>
      </c>
      <c r="I91" t="s">
        <v>97</v>
      </c>
    </row>
    <row r="92" spans="1:9">
      <c r="A92" s="16">
        <v>40</v>
      </c>
      <c r="B92" s="16">
        <v>50</v>
      </c>
      <c r="C92" s="16">
        <v>60</v>
      </c>
      <c r="D92" s="17">
        <v>70</v>
      </c>
      <c r="E92" s="17">
        <v>80</v>
      </c>
      <c r="F92" s="17">
        <v>90</v>
      </c>
      <c r="H92">
        <v>91</v>
      </c>
      <c r="I92" t="s">
        <v>98</v>
      </c>
    </row>
    <row r="93" spans="1:9">
      <c r="A93" s="16">
        <v>35</v>
      </c>
      <c r="B93" s="16">
        <v>45</v>
      </c>
      <c r="C93" s="16">
        <v>55</v>
      </c>
      <c r="D93" s="17">
        <v>65</v>
      </c>
      <c r="E93" s="17">
        <v>75</v>
      </c>
      <c r="F93" s="17">
        <v>85</v>
      </c>
      <c r="H93">
        <v>92</v>
      </c>
      <c r="I93" t="s">
        <v>99</v>
      </c>
    </row>
    <row r="94" spans="1:9">
      <c r="A94" s="16">
        <v>35</v>
      </c>
      <c r="B94" s="16">
        <v>45</v>
      </c>
      <c r="C94" s="16">
        <v>55</v>
      </c>
      <c r="D94" s="17">
        <v>65</v>
      </c>
      <c r="E94" s="17">
        <v>75</v>
      </c>
      <c r="F94" s="17">
        <v>85</v>
      </c>
      <c r="H94">
        <v>93</v>
      </c>
      <c r="I94" t="s">
        <v>100</v>
      </c>
    </row>
    <row r="95" spans="1:9">
      <c r="A95" s="16">
        <v>37.5</v>
      </c>
      <c r="B95" s="16">
        <v>47.5</v>
      </c>
      <c r="C95" s="16">
        <v>57.5</v>
      </c>
      <c r="D95" s="17">
        <v>67.5</v>
      </c>
      <c r="E95" s="17">
        <v>77.5</v>
      </c>
      <c r="F95" s="17">
        <v>87.5</v>
      </c>
      <c r="H95">
        <v>94</v>
      </c>
      <c r="I95" t="s">
        <v>101</v>
      </c>
    </row>
    <row r="96" spans="1:9">
      <c r="A96" s="16">
        <v>32.5</v>
      </c>
      <c r="B96" s="16">
        <v>42.5</v>
      </c>
      <c r="C96" s="16">
        <v>52.5</v>
      </c>
      <c r="D96" s="17">
        <v>62.5</v>
      </c>
      <c r="E96" s="17">
        <v>72.5</v>
      </c>
      <c r="F96" s="17">
        <v>82.5</v>
      </c>
      <c r="H96">
        <v>95</v>
      </c>
      <c r="I96" t="s">
        <v>102</v>
      </c>
    </row>
    <row r="97" spans="1:1154">
      <c r="A97" s="16">
        <v>30</v>
      </c>
      <c r="B97" s="16">
        <v>40</v>
      </c>
      <c r="C97" s="16">
        <v>50</v>
      </c>
      <c r="D97" s="17">
        <v>60</v>
      </c>
      <c r="E97" s="17">
        <v>70</v>
      </c>
      <c r="F97" s="17">
        <v>80</v>
      </c>
      <c r="H97">
        <v>96</v>
      </c>
      <c r="I97" t="s">
        <v>103</v>
      </c>
    </row>
    <row r="99" spans="1:1154">
      <c r="A99" s="1" t="s">
        <v>104</v>
      </c>
      <c r="E99" t="s">
        <v>105</v>
      </c>
      <c r="F99" s="1">
        <f>COUNT(A100:ARJ100)</f>
        <v>160</v>
      </c>
    </row>
    <row r="100" spans="1:1154">
      <c r="A100" s="2">
        <f>Lower</f>
        <v>-600</v>
      </c>
      <c r="B100" s="2">
        <f>IF(OR(A100="",A100&gt;=Upper),"",MIN(Upper,IFERROR(SMALL(Cand,COUNTIF(Cand,"&lt;="&amp;A100)+1),Upper)))</f>
        <v>-7.6</v>
      </c>
      <c r="C100" s="2">
        <f t="shared" ref="B100:BM100" si="0">IF(OR(B100="",B100&gt;=Upper),"",MIN(Upper,IFERROR(SMALL(Cand,COUNTIF(Cand,"&lt;="&amp;B100)+1),Upper)))</f>
        <v>-7.5</v>
      </c>
      <c r="D100" s="2">
        <f t="shared" si="0"/>
        <v>-5.0999999999999996</v>
      </c>
      <c r="E100" s="2">
        <f t="shared" si="0"/>
        <v>-5</v>
      </c>
      <c r="F100" s="2">
        <f t="shared" si="0"/>
        <v>-2.6</v>
      </c>
      <c r="G100" s="2">
        <f t="shared" si="0"/>
        <v>-2.5</v>
      </c>
      <c r="H100" s="2">
        <f t="shared" si="0"/>
        <v>-0.1</v>
      </c>
      <c r="I100" s="2">
        <f t="shared" si="0"/>
        <v>0</v>
      </c>
      <c r="J100" s="2">
        <f t="shared" si="0"/>
        <v>2.4</v>
      </c>
      <c r="K100" s="2">
        <f t="shared" si="0"/>
        <v>2.5</v>
      </c>
      <c r="L100" s="2">
        <f t="shared" si="0"/>
        <v>4.9000000000000004</v>
      </c>
      <c r="M100" s="2">
        <f t="shared" si="0"/>
        <v>5</v>
      </c>
      <c r="N100" s="2">
        <f t="shared" si="0"/>
        <v>7.4</v>
      </c>
      <c r="O100" s="2">
        <f t="shared" si="0"/>
        <v>7.5</v>
      </c>
      <c r="P100" s="2">
        <f t="shared" si="0"/>
        <v>9.9</v>
      </c>
      <c r="Q100" s="2">
        <f t="shared" si="0"/>
        <v>10</v>
      </c>
      <c r="R100" s="2">
        <f t="shared" si="0"/>
        <v>12.4</v>
      </c>
      <c r="S100" s="2">
        <f t="shared" si="0"/>
        <v>12.5</v>
      </c>
      <c r="T100" s="2">
        <f t="shared" si="0"/>
        <v>14.9</v>
      </c>
      <c r="U100" s="2">
        <f t="shared" si="0"/>
        <v>15</v>
      </c>
      <c r="V100" s="2">
        <f t="shared" si="0"/>
        <v>17.399999999999999</v>
      </c>
      <c r="W100" s="2">
        <f t="shared" si="0"/>
        <v>17.5</v>
      </c>
      <c r="X100" s="2">
        <f t="shared" si="0"/>
        <v>19.899999999999999</v>
      </c>
      <c r="Y100" s="2">
        <f t="shared" si="0"/>
        <v>20</v>
      </c>
      <c r="Z100" s="2">
        <f t="shared" si="0"/>
        <v>22.4</v>
      </c>
      <c r="AA100" s="2">
        <f t="shared" si="0"/>
        <v>22.5</v>
      </c>
      <c r="AB100" s="2">
        <f t="shared" si="0"/>
        <v>22.6</v>
      </c>
      <c r="AC100" s="2">
        <f t="shared" si="0"/>
        <v>24.9</v>
      </c>
      <c r="AD100" s="2">
        <f t="shared" si="0"/>
        <v>25</v>
      </c>
      <c r="AE100" s="2">
        <f t="shared" si="0"/>
        <v>25.1</v>
      </c>
      <c r="AF100" s="2">
        <f t="shared" si="0"/>
        <v>27.4</v>
      </c>
      <c r="AG100" s="2">
        <f t="shared" si="0"/>
        <v>27.5</v>
      </c>
      <c r="AH100" s="2">
        <f t="shared" si="0"/>
        <v>27.6</v>
      </c>
      <c r="AI100" s="2">
        <f t="shared" si="0"/>
        <v>29.9</v>
      </c>
      <c r="AJ100" s="2">
        <f t="shared" si="0"/>
        <v>30</v>
      </c>
      <c r="AK100" s="2">
        <f t="shared" si="0"/>
        <v>30.1</v>
      </c>
      <c r="AL100" s="2">
        <f t="shared" si="0"/>
        <v>32.4</v>
      </c>
      <c r="AM100" s="2">
        <f t="shared" si="0"/>
        <v>32.5</v>
      </c>
      <c r="AN100" s="2">
        <f t="shared" si="0"/>
        <v>32.6</v>
      </c>
      <c r="AO100" s="2">
        <f t="shared" si="0"/>
        <v>34.9</v>
      </c>
      <c r="AP100" s="2">
        <f t="shared" si="0"/>
        <v>35</v>
      </c>
      <c r="AQ100" s="2">
        <f t="shared" si="0"/>
        <v>35.1</v>
      </c>
      <c r="AR100" s="2">
        <f t="shared" si="0"/>
        <v>37.4</v>
      </c>
      <c r="AS100" s="2">
        <f t="shared" si="0"/>
        <v>37.5</v>
      </c>
      <c r="AT100" s="2">
        <f t="shared" si="0"/>
        <v>37.6</v>
      </c>
      <c r="AU100" s="2">
        <f t="shared" si="0"/>
        <v>39.9</v>
      </c>
      <c r="AV100" s="2">
        <f t="shared" si="0"/>
        <v>40</v>
      </c>
      <c r="AW100" s="2">
        <f t="shared" si="0"/>
        <v>40.1</v>
      </c>
      <c r="AX100" s="2">
        <f t="shared" si="0"/>
        <v>42.4</v>
      </c>
      <c r="AY100" s="2">
        <f t="shared" si="0"/>
        <v>42.5</v>
      </c>
      <c r="AZ100" s="2">
        <f t="shared" si="0"/>
        <v>42.6</v>
      </c>
      <c r="BA100" s="2">
        <f t="shared" si="0"/>
        <v>44.9</v>
      </c>
      <c r="BB100" s="2">
        <f t="shared" si="0"/>
        <v>45</v>
      </c>
      <c r="BC100" s="2">
        <f t="shared" si="0"/>
        <v>45.1</v>
      </c>
      <c r="BD100" s="2">
        <f t="shared" si="0"/>
        <v>47.4</v>
      </c>
      <c r="BE100" s="2">
        <f t="shared" si="0"/>
        <v>47.5</v>
      </c>
      <c r="BF100" s="2">
        <f t="shared" si="0"/>
        <v>47.6</v>
      </c>
      <c r="BG100" s="2">
        <f t="shared" si="0"/>
        <v>49.9</v>
      </c>
      <c r="BH100" s="2">
        <f t="shared" si="0"/>
        <v>50</v>
      </c>
      <c r="BI100" s="2">
        <f t="shared" si="0"/>
        <v>50.1</v>
      </c>
      <c r="BJ100" s="2">
        <f t="shared" si="0"/>
        <v>52.4</v>
      </c>
      <c r="BK100" s="2">
        <f t="shared" si="0"/>
        <v>52.5</v>
      </c>
      <c r="BL100" s="2">
        <f t="shared" si="0"/>
        <v>52.6</v>
      </c>
      <c r="BM100" s="2">
        <f t="shared" si="0"/>
        <v>54.9</v>
      </c>
      <c r="BN100" s="2">
        <f t="shared" ref="BN100:DY100" si="1">IF(OR(BM100="",BM100&gt;=Upper),"",MIN(Upper,IFERROR(SMALL(Cand,COUNTIF(Cand,"&lt;="&amp;BM100)+1),Upper)))</f>
        <v>55</v>
      </c>
      <c r="BO100" s="2">
        <f t="shared" si="1"/>
        <v>55.1</v>
      </c>
      <c r="BP100" s="2">
        <f t="shared" si="1"/>
        <v>57.4</v>
      </c>
      <c r="BQ100" s="2">
        <f t="shared" si="1"/>
        <v>57.5</v>
      </c>
      <c r="BR100" s="2">
        <f t="shared" si="1"/>
        <v>57.6</v>
      </c>
      <c r="BS100" s="2">
        <f t="shared" si="1"/>
        <v>59.9</v>
      </c>
      <c r="BT100" s="2">
        <f t="shared" si="1"/>
        <v>60</v>
      </c>
      <c r="BU100" s="2">
        <f t="shared" si="1"/>
        <v>60.1</v>
      </c>
      <c r="BV100" s="2">
        <f t="shared" si="1"/>
        <v>62.4</v>
      </c>
      <c r="BW100" s="2">
        <f t="shared" si="1"/>
        <v>62.5</v>
      </c>
      <c r="BX100" s="2">
        <f t="shared" si="1"/>
        <v>62.6</v>
      </c>
      <c r="BY100" s="2">
        <f t="shared" si="1"/>
        <v>64.900000000000006</v>
      </c>
      <c r="BZ100" s="2">
        <f t="shared" si="1"/>
        <v>65</v>
      </c>
      <c r="CA100" s="2">
        <f t="shared" si="1"/>
        <v>65.099999999999994</v>
      </c>
      <c r="CB100" s="2">
        <f t="shared" si="1"/>
        <v>67.400000000000006</v>
      </c>
      <c r="CC100" s="2">
        <f t="shared" si="1"/>
        <v>67.5</v>
      </c>
      <c r="CD100" s="2">
        <f t="shared" si="1"/>
        <v>67.599999999999994</v>
      </c>
      <c r="CE100" s="2">
        <f t="shared" si="1"/>
        <v>69.900000000000006</v>
      </c>
      <c r="CF100" s="2">
        <f t="shared" si="1"/>
        <v>70</v>
      </c>
      <c r="CG100" s="2">
        <f t="shared" si="1"/>
        <v>70.099999999999994</v>
      </c>
      <c r="CH100" s="2">
        <f t="shared" si="1"/>
        <v>72.400000000000006</v>
      </c>
      <c r="CI100" s="2">
        <f t="shared" si="1"/>
        <v>72.5</v>
      </c>
      <c r="CJ100" s="2">
        <f t="shared" si="1"/>
        <v>72.599999999999994</v>
      </c>
      <c r="CK100" s="2">
        <f t="shared" si="1"/>
        <v>74.900000000000006</v>
      </c>
      <c r="CL100" s="2">
        <f t="shared" si="1"/>
        <v>75</v>
      </c>
      <c r="CM100" s="2">
        <f t="shared" si="1"/>
        <v>75.099999999999994</v>
      </c>
      <c r="CN100" s="2">
        <f t="shared" si="1"/>
        <v>77.400000000000006</v>
      </c>
      <c r="CO100" s="2">
        <f t="shared" si="1"/>
        <v>77.5</v>
      </c>
      <c r="CP100" s="2">
        <f t="shared" si="1"/>
        <v>77.599999999999994</v>
      </c>
      <c r="CQ100" s="2">
        <f t="shared" si="1"/>
        <v>79.900000000000006</v>
      </c>
      <c r="CR100" s="2">
        <f t="shared" si="1"/>
        <v>80</v>
      </c>
      <c r="CS100" s="2">
        <f t="shared" si="1"/>
        <v>80.099999999999994</v>
      </c>
      <c r="CT100" s="2">
        <f t="shared" si="1"/>
        <v>82.4</v>
      </c>
      <c r="CU100" s="2">
        <f t="shared" si="1"/>
        <v>82.5</v>
      </c>
      <c r="CV100" s="2">
        <f t="shared" si="1"/>
        <v>82.6</v>
      </c>
      <c r="CW100" s="2">
        <f t="shared" si="1"/>
        <v>84.9</v>
      </c>
      <c r="CX100" s="2">
        <f t="shared" si="1"/>
        <v>85</v>
      </c>
      <c r="CY100" s="2">
        <f t="shared" si="1"/>
        <v>85.1</v>
      </c>
      <c r="CZ100" s="2">
        <f t="shared" si="1"/>
        <v>87.4</v>
      </c>
      <c r="DA100" s="2">
        <f t="shared" si="1"/>
        <v>87.5</v>
      </c>
      <c r="DB100" s="2">
        <f t="shared" si="1"/>
        <v>87.6</v>
      </c>
      <c r="DC100" s="2">
        <f t="shared" si="1"/>
        <v>89.9</v>
      </c>
      <c r="DD100" s="2">
        <f t="shared" si="1"/>
        <v>90</v>
      </c>
      <c r="DE100" s="2">
        <f t="shared" si="1"/>
        <v>90.1</v>
      </c>
      <c r="DF100" s="2">
        <f t="shared" si="1"/>
        <v>92.4</v>
      </c>
      <c r="DG100" s="2">
        <f t="shared" si="1"/>
        <v>92.5</v>
      </c>
      <c r="DH100" s="2">
        <f t="shared" si="1"/>
        <v>92.6</v>
      </c>
      <c r="DI100" s="2">
        <f t="shared" si="1"/>
        <v>94.9</v>
      </c>
      <c r="DJ100" s="2">
        <f t="shared" si="1"/>
        <v>95</v>
      </c>
      <c r="DK100" s="2">
        <f t="shared" si="1"/>
        <v>95.1</v>
      </c>
      <c r="DL100" s="2">
        <f t="shared" si="1"/>
        <v>97.4</v>
      </c>
      <c r="DM100" s="2">
        <f t="shared" si="1"/>
        <v>97.5</v>
      </c>
      <c r="DN100" s="2">
        <f t="shared" si="1"/>
        <v>97.6</v>
      </c>
      <c r="DO100" s="2">
        <f t="shared" si="1"/>
        <v>99.9</v>
      </c>
      <c r="DP100" s="2">
        <f t="shared" si="1"/>
        <v>100</v>
      </c>
      <c r="DQ100" s="2">
        <f t="shared" si="1"/>
        <v>100.1</v>
      </c>
      <c r="DR100" s="2">
        <f t="shared" si="1"/>
        <v>102.4</v>
      </c>
      <c r="DS100" s="2">
        <f t="shared" si="1"/>
        <v>102.5</v>
      </c>
      <c r="DT100" s="2">
        <f t="shared" si="1"/>
        <v>102.6</v>
      </c>
      <c r="DU100" s="2">
        <f t="shared" si="1"/>
        <v>104.9</v>
      </c>
      <c r="DV100" s="2">
        <f t="shared" si="1"/>
        <v>105</v>
      </c>
      <c r="DW100" s="2">
        <f t="shared" si="1"/>
        <v>107.4</v>
      </c>
      <c r="DX100" s="2">
        <f t="shared" si="1"/>
        <v>107.5</v>
      </c>
      <c r="DY100" s="2">
        <f t="shared" si="1"/>
        <v>107.6</v>
      </c>
      <c r="DZ100" s="2">
        <f t="shared" ref="DZ100:GK100" si="2">IF(OR(DY100="",DY100&gt;=Upper),"",MIN(Upper,IFERROR(SMALL(Cand,COUNTIF(Cand,"&lt;="&amp;DY100)+1),Upper)))</f>
        <v>109.9</v>
      </c>
      <c r="EA100" s="2">
        <f t="shared" si="2"/>
        <v>110</v>
      </c>
      <c r="EB100" s="2">
        <f t="shared" si="2"/>
        <v>110.1</v>
      </c>
      <c r="EC100" s="2">
        <f t="shared" si="2"/>
        <v>112.4</v>
      </c>
      <c r="ED100" s="2">
        <f t="shared" si="2"/>
        <v>112.5</v>
      </c>
      <c r="EE100" s="2">
        <f t="shared" si="2"/>
        <v>112.6</v>
      </c>
      <c r="EF100" s="2">
        <f t="shared" si="2"/>
        <v>115</v>
      </c>
      <c r="EG100" s="2">
        <f t="shared" si="2"/>
        <v>115.1</v>
      </c>
      <c r="EH100" s="2">
        <f t="shared" si="2"/>
        <v>117.5</v>
      </c>
      <c r="EI100" s="2">
        <f t="shared" si="2"/>
        <v>117.6</v>
      </c>
      <c r="EJ100" s="2">
        <f t="shared" si="2"/>
        <v>120</v>
      </c>
      <c r="EK100" s="2">
        <f t="shared" si="2"/>
        <v>120.1</v>
      </c>
      <c r="EL100" s="2">
        <f t="shared" si="2"/>
        <v>122.5</v>
      </c>
      <c r="EM100" s="2">
        <f t="shared" si="2"/>
        <v>122.6</v>
      </c>
      <c r="EN100" s="2">
        <f t="shared" si="2"/>
        <v>125</v>
      </c>
      <c r="EO100" s="2">
        <f t="shared" si="2"/>
        <v>125.1</v>
      </c>
      <c r="EP100" s="2">
        <f t="shared" si="2"/>
        <v>127.5</v>
      </c>
      <c r="EQ100" s="2">
        <f t="shared" si="2"/>
        <v>127.6</v>
      </c>
      <c r="ER100" s="2">
        <f t="shared" si="2"/>
        <v>130</v>
      </c>
      <c r="ES100" s="2">
        <f t="shared" si="2"/>
        <v>130.1</v>
      </c>
      <c r="ET100" s="2">
        <f t="shared" si="2"/>
        <v>132.5</v>
      </c>
      <c r="EU100" s="2">
        <f t="shared" si="2"/>
        <v>132.6</v>
      </c>
      <c r="EV100" s="2">
        <f t="shared" si="2"/>
        <v>135</v>
      </c>
      <c r="EW100" s="2">
        <f t="shared" si="2"/>
        <v>135.1</v>
      </c>
      <c r="EX100" s="2">
        <f t="shared" si="2"/>
        <v>137.5</v>
      </c>
      <c r="EY100" s="2">
        <f t="shared" si="2"/>
        <v>137.6</v>
      </c>
      <c r="EZ100" s="2">
        <f t="shared" si="2"/>
        <v>140</v>
      </c>
      <c r="FA100" s="2">
        <f t="shared" si="2"/>
        <v>140.1</v>
      </c>
      <c r="FB100" s="2">
        <f t="shared" si="2"/>
        <v>142.5</v>
      </c>
      <c r="FC100" s="2">
        <f t="shared" si="2"/>
        <v>142.6</v>
      </c>
      <c r="FD100" s="2">
        <f t="shared" si="2"/>
        <v>4000</v>
      </c>
      <c r="FE100" s="2" t="str">
        <f t="shared" si="2"/>
        <v/>
      </c>
      <c r="FF100" s="2" t="str">
        <f t="shared" si="2"/>
        <v/>
      </c>
      <c r="FG100" s="2" t="str">
        <f t="shared" si="2"/>
        <v/>
      </c>
      <c r="FH100" s="2" t="str">
        <f t="shared" si="2"/>
        <v/>
      </c>
      <c r="FI100" s="2" t="str">
        <f t="shared" si="2"/>
        <v/>
      </c>
      <c r="FJ100" s="2" t="str">
        <f t="shared" si="2"/>
        <v/>
      </c>
      <c r="FK100" s="2" t="str">
        <f t="shared" si="2"/>
        <v/>
      </c>
      <c r="FL100" s="2" t="str">
        <f t="shared" si="2"/>
        <v/>
      </c>
      <c r="FM100" s="2" t="str">
        <f t="shared" si="2"/>
        <v/>
      </c>
      <c r="FN100" s="2" t="str">
        <f t="shared" si="2"/>
        <v/>
      </c>
      <c r="FO100" s="2" t="str">
        <f t="shared" si="2"/>
        <v/>
      </c>
      <c r="FP100" s="2" t="str">
        <f t="shared" si="2"/>
        <v/>
      </c>
      <c r="FQ100" s="2" t="str">
        <f t="shared" si="2"/>
        <v/>
      </c>
      <c r="FR100" s="2" t="str">
        <f t="shared" si="2"/>
        <v/>
      </c>
      <c r="FS100" s="2" t="str">
        <f t="shared" si="2"/>
        <v/>
      </c>
      <c r="FT100" s="2" t="str">
        <f t="shared" si="2"/>
        <v/>
      </c>
      <c r="FU100" s="2" t="str">
        <f t="shared" si="2"/>
        <v/>
      </c>
      <c r="FV100" s="2" t="str">
        <f t="shared" si="2"/>
        <v/>
      </c>
      <c r="FW100" s="2" t="str">
        <f t="shared" si="2"/>
        <v/>
      </c>
      <c r="FX100" s="2" t="str">
        <f t="shared" si="2"/>
        <v/>
      </c>
      <c r="FY100" s="2" t="str">
        <f t="shared" si="2"/>
        <v/>
      </c>
      <c r="FZ100" s="2" t="str">
        <f t="shared" si="2"/>
        <v/>
      </c>
      <c r="GA100" s="2" t="str">
        <f t="shared" si="2"/>
        <v/>
      </c>
      <c r="GB100" s="2" t="str">
        <f t="shared" si="2"/>
        <v/>
      </c>
      <c r="GC100" s="2" t="str">
        <f t="shared" si="2"/>
        <v/>
      </c>
      <c r="GD100" s="2" t="str">
        <f t="shared" si="2"/>
        <v/>
      </c>
      <c r="GE100" s="2" t="str">
        <f t="shared" si="2"/>
        <v/>
      </c>
      <c r="GF100" s="2" t="str">
        <f t="shared" si="2"/>
        <v/>
      </c>
      <c r="GG100" s="2" t="str">
        <f t="shared" si="2"/>
        <v/>
      </c>
      <c r="GH100" s="2" t="str">
        <f t="shared" si="2"/>
        <v/>
      </c>
      <c r="GI100" s="2" t="str">
        <f t="shared" si="2"/>
        <v/>
      </c>
      <c r="GJ100" s="2" t="str">
        <f t="shared" si="2"/>
        <v/>
      </c>
      <c r="GK100" s="2" t="str">
        <f t="shared" si="2"/>
        <v/>
      </c>
      <c r="GL100" s="2" t="str">
        <f t="shared" ref="GL100:IW100" si="3">IF(OR(GK100="",GK100&gt;=Upper),"",MIN(Upper,IFERROR(SMALL(Cand,COUNTIF(Cand,"&lt;="&amp;GK100)+1),Upper)))</f>
        <v/>
      </c>
      <c r="GM100" s="2" t="str">
        <f t="shared" si="3"/>
        <v/>
      </c>
      <c r="GN100" s="2" t="str">
        <f t="shared" si="3"/>
        <v/>
      </c>
      <c r="GO100" s="2" t="str">
        <f t="shared" si="3"/>
        <v/>
      </c>
      <c r="GP100" s="2" t="str">
        <f t="shared" si="3"/>
        <v/>
      </c>
      <c r="GQ100" s="2" t="str">
        <f t="shared" si="3"/>
        <v/>
      </c>
      <c r="GR100" s="2" t="str">
        <f t="shared" si="3"/>
        <v/>
      </c>
      <c r="GS100" s="2" t="str">
        <f t="shared" si="3"/>
        <v/>
      </c>
      <c r="GT100" s="2" t="str">
        <f t="shared" si="3"/>
        <v/>
      </c>
      <c r="GU100" s="2" t="str">
        <f t="shared" si="3"/>
        <v/>
      </c>
      <c r="GV100" s="2" t="str">
        <f t="shared" si="3"/>
        <v/>
      </c>
      <c r="GW100" s="2" t="str">
        <f t="shared" si="3"/>
        <v/>
      </c>
      <c r="GX100" s="2" t="str">
        <f t="shared" si="3"/>
        <v/>
      </c>
      <c r="GY100" s="2" t="str">
        <f t="shared" si="3"/>
        <v/>
      </c>
      <c r="GZ100" s="2" t="str">
        <f t="shared" si="3"/>
        <v/>
      </c>
      <c r="HA100" s="2" t="str">
        <f t="shared" si="3"/>
        <v/>
      </c>
      <c r="HB100" s="2" t="str">
        <f t="shared" si="3"/>
        <v/>
      </c>
      <c r="HC100" s="2" t="str">
        <f t="shared" si="3"/>
        <v/>
      </c>
      <c r="HD100" s="2" t="str">
        <f t="shared" si="3"/>
        <v/>
      </c>
      <c r="HE100" s="2" t="str">
        <f t="shared" si="3"/>
        <v/>
      </c>
      <c r="HF100" s="2" t="str">
        <f t="shared" si="3"/>
        <v/>
      </c>
      <c r="HG100" s="2" t="str">
        <f t="shared" si="3"/>
        <v/>
      </c>
      <c r="HH100" s="2" t="str">
        <f t="shared" si="3"/>
        <v/>
      </c>
      <c r="HI100" s="2" t="str">
        <f t="shared" si="3"/>
        <v/>
      </c>
      <c r="HJ100" s="2" t="str">
        <f t="shared" si="3"/>
        <v/>
      </c>
      <c r="HK100" s="2" t="str">
        <f t="shared" si="3"/>
        <v/>
      </c>
      <c r="HL100" s="2" t="str">
        <f t="shared" si="3"/>
        <v/>
      </c>
      <c r="HM100" s="2" t="str">
        <f t="shared" si="3"/>
        <v/>
      </c>
      <c r="HN100" s="2" t="str">
        <f t="shared" si="3"/>
        <v/>
      </c>
      <c r="HO100" s="2" t="str">
        <f t="shared" si="3"/>
        <v/>
      </c>
      <c r="HP100" s="2" t="str">
        <f t="shared" si="3"/>
        <v/>
      </c>
      <c r="HQ100" s="2" t="str">
        <f t="shared" si="3"/>
        <v/>
      </c>
      <c r="HR100" s="2" t="str">
        <f t="shared" si="3"/>
        <v/>
      </c>
      <c r="HS100" s="2" t="str">
        <f t="shared" si="3"/>
        <v/>
      </c>
      <c r="HT100" s="2" t="str">
        <f t="shared" si="3"/>
        <v/>
      </c>
      <c r="HU100" s="2" t="str">
        <f t="shared" si="3"/>
        <v/>
      </c>
      <c r="HV100" s="2" t="str">
        <f t="shared" si="3"/>
        <v/>
      </c>
      <c r="HW100" s="2" t="str">
        <f t="shared" si="3"/>
        <v/>
      </c>
      <c r="HX100" s="2" t="str">
        <f t="shared" si="3"/>
        <v/>
      </c>
      <c r="HY100" s="2" t="str">
        <f t="shared" si="3"/>
        <v/>
      </c>
      <c r="HZ100" s="2" t="str">
        <f t="shared" si="3"/>
        <v/>
      </c>
      <c r="IA100" s="2" t="str">
        <f t="shared" si="3"/>
        <v/>
      </c>
      <c r="IB100" s="2" t="str">
        <f t="shared" si="3"/>
        <v/>
      </c>
      <c r="IC100" s="2" t="str">
        <f t="shared" si="3"/>
        <v/>
      </c>
      <c r="ID100" s="2" t="str">
        <f t="shared" si="3"/>
        <v/>
      </c>
      <c r="IE100" s="2" t="str">
        <f t="shared" si="3"/>
        <v/>
      </c>
      <c r="IF100" s="2" t="str">
        <f t="shared" si="3"/>
        <v/>
      </c>
      <c r="IG100" s="2" t="str">
        <f t="shared" si="3"/>
        <v/>
      </c>
      <c r="IH100" s="2" t="str">
        <f t="shared" si="3"/>
        <v/>
      </c>
      <c r="II100" s="2" t="str">
        <f t="shared" si="3"/>
        <v/>
      </c>
      <c r="IJ100" s="2" t="str">
        <f t="shared" si="3"/>
        <v/>
      </c>
      <c r="IK100" s="2" t="str">
        <f t="shared" si="3"/>
        <v/>
      </c>
      <c r="IL100" s="2" t="str">
        <f t="shared" si="3"/>
        <v/>
      </c>
      <c r="IM100" s="2" t="str">
        <f t="shared" si="3"/>
        <v/>
      </c>
      <c r="IN100" s="2" t="str">
        <f t="shared" si="3"/>
        <v/>
      </c>
      <c r="IO100" s="2" t="str">
        <f t="shared" si="3"/>
        <v/>
      </c>
      <c r="IP100" s="2" t="str">
        <f t="shared" si="3"/>
        <v/>
      </c>
      <c r="IQ100" s="2" t="str">
        <f t="shared" si="3"/>
        <v/>
      </c>
      <c r="IR100" s="2" t="str">
        <f t="shared" si="3"/>
        <v/>
      </c>
      <c r="IS100" s="2" t="str">
        <f t="shared" si="3"/>
        <v/>
      </c>
      <c r="IT100" s="2" t="str">
        <f t="shared" si="3"/>
        <v/>
      </c>
      <c r="IU100" s="2" t="str">
        <f t="shared" si="3"/>
        <v/>
      </c>
      <c r="IV100" s="2" t="str">
        <f t="shared" si="3"/>
        <v/>
      </c>
      <c r="IW100" s="2" t="str">
        <f t="shared" si="3"/>
        <v/>
      </c>
      <c r="IX100" s="2" t="str">
        <f t="shared" ref="IX100:LI100" si="4">IF(OR(IW100="",IW100&gt;=Upper),"",MIN(Upper,IFERROR(SMALL(Cand,COUNTIF(Cand,"&lt;="&amp;IW100)+1),Upper)))</f>
        <v/>
      </c>
      <c r="IY100" s="2" t="str">
        <f t="shared" si="4"/>
        <v/>
      </c>
      <c r="IZ100" s="2" t="str">
        <f t="shared" si="4"/>
        <v/>
      </c>
      <c r="JA100" s="2" t="str">
        <f t="shared" si="4"/>
        <v/>
      </c>
      <c r="JB100" s="2" t="str">
        <f t="shared" si="4"/>
        <v/>
      </c>
      <c r="JC100" s="2" t="str">
        <f t="shared" si="4"/>
        <v/>
      </c>
      <c r="JD100" s="2" t="str">
        <f t="shared" si="4"/>
        <v/>
      </c>
      <c r="JE100" s="2" t="str">
        <f t="shared" si="4"/>
        <v/>
      </c>
      <c r="JF100" s="2" t="str">
        <f t="shared" si="4"/>
        <v/>
      </c>
      <c r="JG100" s="2" t="str">
        <f t="shared" si="4"/>
        <v/>
      </c>
      <c r="JH100" s="2" t="str">
        <f t="shared" si="4"/>
        <v/>
      </c>
      <c r="JI100" s="2" t="str">
        <f t="shared" si="4"/>
        <v/>
      </c>
      <c r="JJ100" s="2" t="str">
        <f t="shared" si="4"/>
        <v/>
      </c>
      <c r="JK100" s="2" t="str">
        <f t="shared" si="4"/>
        <v/>
      </c>
      <c r="JL100" s="2" t="str">
        <f t="shared" si="4"/>
        <v/>
      </c>
      <c r="JM100" s="2" t="str">
        <f t="shared" si="4"/>
        <v/>
      </c>
      <c r="JN100" s="2" t="str">
        <f t="shared" si="4"/>
        <v/>
      </c>
      <c r="JO100" s="2" t="str">
        <f t="shared" si="4"/>
        <v/>
      </c>
      <c r="JP100" s="2" t="str">
        <f t="shared" si="4"/>
        <v/>
      </c>
      <c r="JQ100" s="2" t="str">
        <f t="shared" si="4"/>
        <v/>
      </c>
      <c r="JR100" s="2" t="str">
        <f t="shared" si="4"/>
        <v/>
      </c>
      <c r="JS100" s="2" t="str">
        <f t="shared" si="4"/>
        <v/>
      </c>
      <c r="JT100" s="2" t="str">
        <f t="shared" si="4"/>
        <v/>
      </c>
      <c r="JU100" s="2" t="str">
        <f t="shared" si="4"/>
        <v/>
      </c>
      <c r="JV100" s="2" t="str">
        <f t="shared" si="4"/>
        <v/>
      </c>
      <c r="JW100" s="2" t="str">
        <f t="shared" si="4"/>
        <v/>
      </c>
      <c r="JX100" s="2" t="str">
        <f t="shared" si="4"/>
        <v/>
      </c>
      <c r="JY100" s="2" t="str">
        <f t="shared" si="4"/>
        <v/>
      </c>
      <c r="JZ100" s="2" t="str">
        <f t="shared" si="4"/>
        <v/>
      </c>
      <c r="KA100" s="2" t="str">
        <f t="shared" si="4"/>
        <v/>
      </c>
      <c r="KB100" s="2" t="str">
        <f t="shared" si="4"/>
        <v/>
      </c>
      <c r="KC100" s="2" t="str">
        <f t="shared" si="4"/>
        <v/>
      </c>
      <c r="KD100" s="2" t="str">
        <f t="shared" si="4"/>
        <v/>
      </c>
      <c r="KE100" s="2" t="str">
        <f t="shared" si="4"/>
        <v/>
      </c>
      <c r="KF100" s="2" t="str">
        <f t="shared" si="4"/>
        <v/>
      </c>
      <c r="KG100" s="2" t="str">
        <f t="shared" si="4"/>
        <v/>
      </c>
      <c r="KH100" s="2" t="str">
        <f t="shared" si="4"/>
        <v/>
      </c>
      <c r="KI100" s="2" t="str">
        <f t="shared" si="4"/>
        <v/>
      </c>
      <c r="KJ100" s="2" t="str">
        <f t="shared" si="4"/>
        <v/>
      </c>
      <c r="KK100" s="2" t="str">
        <f t="shared" si="4"/>
        <v/>
      </c>
      <c r="KL100" s="2" t="str">
        <f t="shared" si="4"/>
        <v/>
      </c>
      <c r="KM100" s="2" t="str">
        <f t="shared" si="4"/>
        <v/>
      </c>
      <c r="KN100" s="2" t="str">
        <f t="shared" si="4"/>
        <v/>
      </c>
      <c r="KO100" s="2" t="str">
        <f t="shared" si="4"/>
        <v/>
      </c>
      <c r="KP100" s="2" t="str">
        <f t="shared" si="4"/>
        <v/>
      </c>
      <c r="KQ100" s="2" t="str">
        <f t="shared" si="4"/>
        <v/>
      </c>
      <c r="KR100" s="2" t="str">
        <f t="shared" si="4"/>
        <v/>
      </c>
      <c r="KS100" s="2" t="str">
        <f t="shared" si="4"/>
        <v/>
      </c>
      <c r="KT100" s="2" t="str">
        <f t="shared" si="4"/>
        <v/>
      </c>
      <c r="KU100" s="2" t="str">
        <f t="shared" si="4"/>
        <v/>
      </c>
      <c r="KV100" s="2" t="str">
        <f t="shared" si="4"/>
        <v/>
      </c>
      <c r="KW100" s="2" t="str">
        <f t="shared" si="4"/>
        <v/>
      </c>
      <c r="KX100" s="2" t="str">
        <f t="shared" si="4"/>
        <v/>
      </c>
      <c r="KY100" s="2" t="str">
        <f t="shared" si="4"/>
        <v/>
      </c>
      <c r="KZ100" s="2" t="str">
        <f t="shared" si="4"/>
        <v/>
      </c>
      <c r="LA100" s="2" t="str">
        <f t="shared" si="4"/>
        <v/>
      </c>
      <c r="LB100" s="2" t="str">
        <f t="shared" si="4"/>
        <v/>
      </c>
      <c r="LC100" s="2" t="str">
        <f t="shared" si="4"/>
        <v/>
      </c>
      <c r="LD100" s="2" t="str">
        <f t="shared" si="4"/>
        <v/>
      </c>
      <c r="LE100" s="2" t="str">
        <f t="shared" si="4"/>
        <v/>
      </c>
      <c r="LF100" s="2" t="str">
        <f t="shared" si="4"/>
        <v/>
      </c>
      <c r="LG100" s="2" t="str">
        <f t="shared" si="4"/>
        <v/>
      </c>
      <c r="LH100" s="2" t="str">
        <f t="shared" si="4"/>
        <v/>
      </c>
      <c r="LI100" s="2" t="str">
        <f t="shared" si="4"/>
        <v/>
      </c>
      <c r="LJ100" s="2" t="str">
        <f t="shared" ref="LJ100:NU100" si="5">IF(OR(LI100="",LI100&gt;=Upper),"",MIN(Upper,IFERROR(SMALL(Cand,COUNTIF(Cand,"&lt;="&amp;LI100)+1),Upper)))</f>
        <v/>
      </c>
      <c r="LK100" s="2" t="str">
        <f t="shared" si="5"/>
        <v/>
      </c>
      <c r="LL100" s="2" t="str">
        <f t="shared" si="5"/>
        <v/>
      </c>
      <c r="LM100" s="2" t="str">
        <f t="shared" si="5"/>
        <v/>
      </c>
      <c r="LN100" s="2" t="str">
        <f t="shared" si="5"/>
        <v/>
      </c>
      <c r="LO100" s="2" t="str">
        <f t="shared" si="5"/>
        <v/>
      </c>
      <c r="LP100" s="2" t="str">
        <f t="shared" si="5"/>
        <v/>
      </c>
      <c r="LQ100" s="2" t="str">
        <f t="shared" si="5"/>
        <v/>
      </c>
      <c r="LR100" s="2" t="str">
        <f t="shared" si="5"/>
        <v/>
      </c>
      <c r="LS100" s="2" t="str">
        <f t="shared" si="5"/>
        <v/>
      </c>
      <c r="LT100" s="2" t="str">
        <f t="shared" si="5"/>
        <v/>
      </c>
      <c r="LU100" s="2" t="str">
        <f t="shared" si="5"/>
        <v/>
      </c>
      <c r="LV100" s="2" t="str">
        <f t="shared" si="5"/>
        <v/>
      </c>
      <c r="LW100" s="2" t="str">
        <f t="shared" si="5"/>
        <v/>
      </c>
      <c r="LX100" s="2" t="str">
        <f t="shared" si="5"/>
        <v/>
      </c>
      <c r="LY100" s="2" t="str">
        <f t="shared" si="5"/>
        <v/>
      </c>
      <c r="LZ100" s="2" t="str">
        <f t="shared" si="5"/>
        <v/>
      </c>
      <c r="MA100" s="2" t="str">
        <f t="shared" si="5"/>
        <v/>
      </c>
      <c r="MB100" s="2" t="str">
        <f t="shared" si="5"/>
        <v/>
      </c>
      <c r="MC100" s="2" t="str">
        <f t="shared" si="5"/>
        <v/>
      </c>
      <c r="MD100" s="2" t="str">
        <f t="shared" si="5"/>
        <v/>
      </c>
      <c r="ME100" s="2" t="str">
        <f t="shared" si="5"/>
        <v/>
      </c>
      <c r="MF100" s="2" t="str">
        <f t="shared" si="5"/>
        <v/>
      </c>
      <c r="MG100" s="2" t="str">
        <f t="shared" si="5"/>
        <v/>
      </c>
      <c r="MH100" s="2" t="str">
        <f t="shared" si="5"/>
        <v/>
      </c>
      <c r="MI100" s="2" t="str">
        <f t="shared" si="5"/>
        <v/>
      </c>
      <c r="MJ100" s="2" t="str">
        <f t="shared" si="5"/>
        <v/>
      </c>
      <c r="MK100" s="2" t="str">
        <f t="shared" si="5"/>
        <v/>
      </c>
      <c r="ML100" s="2" t="str">
        <f t="shared" si="5"/>
        <v/>
      </c>
      <c r="MM100" s="2" t="str">
        <f t="shared" si="5"/>
        <v/>
      </c>
      <c r="MN100" s="2" t="str">
        <f t="shared" si="5"/>
        <v/>
      </c>
      <c r="MO100" s="2" t="str">
        <f t="shared" si="5"/>
        <v/>
      </c>
      <c r="MP100" s="2" t="str">
        <f t="shared" si="5"/>
        <v/>
      </c>
      <c r="MQ100" s="2" t="str">
        <f t="shared" si="5"/>
        <v/>
      </c>
      <c r="MR100" s="2" t="str">
        <f t="shared" si="5"/>
        <v/>
      </c>
      <c r="MS100" s="2" t="str">
        <f t="shared" si="5"/>
        <v/>
      </c>
      <c r="MT100" s="2" t="str">
        <f t="shared" si="5"/>
        <v/>
      </c>
      <c r="MU100" s="2" t="str">
        <f t="shared" si="5"/>
        <v/>
      </c>
      <c r="MV100" s="2" t="str">
        <f t="shared" si="5"/>
        <v/>
      </c>
      <c r="MW100" s="2" t="str">
        <f t="shared" si="5"/>
        <v/>
      </c>
      <c r="MX100" s="2" t="str">
        <f t="shared" si="5"/>
        <v/>
      </c>
      <c r="MY100" s="2" t="str">
        <f t="shared" si="5"/>
        <v/>
      </c>
      <c r="MZ100" s="2" t="str">
        <f t="shared" si="5"/>
        <v/>
      </c>
      <c r="NA100" s="2" t="str">
        <f t="shared" si="5"/>
        <v/>
      </c>
      <c r="NB100" s="2" t="str">
        <f t="shared" si="5"/>
        <v/>
      </c>
      <c r="NC100" s="2" t="str">
        <f t="shared" si="5"/>
        <v/>
      </c>
      <c r="ND100" s="2" t="str">
        <f t="shared" si="5"/>
        <v/>
      </c>
      <c r="NE100" s="2" t="str">
        <f t="shared" si="5"/>
        <v/>
      </c>
      <c r="NF100" s="2" t="str">
        <f t="shared" si="5"/>
        <v/>
      </c>
      <c r="NG100" s="2" t="str">
        <f t="shared" si="5"/>
        <v/>
      </c>
      <c r="NH100" s="2" t="str">
        <f t="shared" si="5"/>
        <v/>
      </c>
      <c r="NI100" s="2" t="str">
        <f t="shared" si="5"/>
        <v/>
      </c>
      <c r="NJ100" s="2" t="str">
        <f t="shared" si="5"/>
        <v/>
      </c>
      <c r="NK100" s="2" t="str">
        <f t="shared" si="5"/>
        <v/>
      </c>
      <c r="NL100" s="2" t="str">
        <f t="shared" si="5"/>
        <v/>
      </c>
      <c r="NM100" s="2" t="str">
        <f t="shared" si="5"/>
        <v/>
      </c>
      <c r="NN100" s="2" t="str">
        <f t="shared" si="5"/>
        <v/>
      </c>
      <c r="NO100" s="2" t="str">
        <f t="shared" si="5"/>
        <v/>
      </c>
      <c r="NP100" s="2" t="str">
        <f t="shared" si="5"/>
        <v/>
      </c>
      <c r="NQ100" s="2" t="str">
        <f t="shared" si="5"/>
        <v/>
      </c>
      <c r="NR100" s="2" t="str">
        <f t="shared" si="5"/>
        <v/>
      </c>
      <c r="NS100" s="2" t="str">
        <f t="shared" si="5"/>
        <v/>
      </c>
      <c r="NT100" s="2" t="str">
        <f t="shared" si="5"/>
        <v/>
      </c>
      <c r="NU100" s="2" t="str">
        <f t="shared" si="5"/>
        <v/>
      </c>
      <c r="NV100" s="2" t="str">
        <f t="shared" ref="NV100:QG100" si="6">IF(OR(NU100="",NU100&gt;=Upper),"",MIN(Upper,IFERROR(SMALL(Cand,COUNTIF(Cand,"&lt;="&amp;NU100)+1),Upper)))</f>
        <v/>
      </c>
      <c r="NW100" s="2" t="str">
        <f t="shared" si="6"/>
        <v/>
      </c>
      <c r="NX100" s="2" t="str">
        <f t="shared" si="6"/>
        <v/>
      </c>
      <c r="NY100" s="2" t="str">
        <f t="shared" si="6"/>
        <v/>
      </c>
      <c r="NZ100" s="2" t="str">
        <f t="shared" si="6"/>
        <v/>
      </c>
      <c r="OA100" s="2" t="str">
        <f t="shared" si="6"/>
        <v/>
      </c>
      <c r="OB100" s="2" t="str">
        <f t="shared" si="6"/>
        <v/>
      </c>
      <c r="OC100" s="2" t="str">
        <f t="shared" si="6"/>
        <v/>
      </c>
      <c r="OD100" s="2" t="str">
        <f t="shared" si="6"/>
        <v/>
      </c>
      <c r="OE100" s="2" t="str">
        <f t="shared" si="6"/>
        <v/>
      </c>
      <c r="OF100" s="2" t="str">
        <f t="shared" si="6"/>
        <v/>
      </c>
      <c r="OG100" s="2" t="str">
        <f t="shared" si="6"/>
        <v/>
      </c>
      <c r="OH100" s="2" t="str">
        <f t="shared" si="6"/>
        <v/>
      </c>
      <c r="OI100" s="2" t="str">
        <f t="shared" si="6"/>
        <v/>
      </c>
      <c r="OJ100" s="2" t="str">
        <f t="shared" si="6"/>
        <v/>
      </c>
      <c r="OK100" s="2" t="str">
        <f t="shared" si="6"/>
        <v/>
      </c>
      <c r="OL100" s="2" t="str">
        <f t="shared" si="6"/>
        <v/>
      </c>
      <c r="OM100" s="2" t="str">
        <f t="shared" si="6"/>
        <v/>
      </c>
      <c r="ON100" s="2" t="str">
        <f t="shared" si="6"/>
        <v/>
      </c>
      <c r="OO100" s="2" t="str">
        <f t="shared" si="6"/>
        <v/>
      </c>
      <c r="OP100" s="2" t="str">
        <f t="shared" si="6"/>
        <v/>
      </c>
      <c r="OQ100" s="2" t="str">
        <f t="shared" si="6"/>
        <v/>
      </c>
      <c r="OR100" s="2" t="str">
        <f t="shared" si="6"/>
        <v/>
      </c>
      <c r="OS100" s="2" t="str">
        <f t="shared" si="6"/>
        <v/>
      </c>
      <c r="OT100" s="2" t="str">
        <f t="shared" si="6"/>
        <v/>
      </c>
      <c r="OU100" s="2" t="str">
        <f t="shared" si="6"/>
        <v/>
      </c>
      <c r="OV100" s="2" t="str">
        <f t="shared" si="6"/>
        <v/>
      </c>
      <c r="OW100" s="2" t="str">
        <f t="shared" si="6"/>
        <v/>
      </c>
      <c r="OX100" s="2" t="str">
        <f t="shared" si="6"/>
        <v/>
      </c>
      <c r="OY100" s="2" t="str">
        <f t="shared" si="6"/>
        <v/>
      </c>
      <c r="OZ100" s="2" t="str">
        <f t="shared" si="6"/>
        <v/>
      </c>
      <c r="PA100" s="2" t="str">
        <f t="shared" si="6"/>
        <v/>
      </c>
      <c r="PB100" s="2" t="str">
        <f t="shared" si="6"/>
        <v/>
      </c>
      <c r="PC100" s="2" t="str">
        <f t="shared" si="6"/>
        <v/>
      </c>
      <c r="PD100" s="2" t="str">
        <f t="shared" si="6"/>
        <v/>
      </c>
      <c r="PE100" s="2" t="str">
        <f t="shared" si="6"/>
        <v/>
      </c>
      <c r="PF100" s="2" t="str">
        <f t="shared" si="6"/>
        <v/>
      </c>
      <c r="PG100" s="2" t="str">
        <f t="shared" si="6"/>
        <v/>
      </c>
      <c r="PH100" s="2" t="str">
        <f t="shared" si="6"/>
        <v/>
      </c>
      <c r="PI100" s="2" t="str">
        <f t="shared" si="6"/>
        <v/>
      </c>
      <c r="PJ100" s="2" t="str">
        <f t="shared" si="6"/>
        <v/>
      </c>
      <c r="PK100" s="2" t="str">
        <f t="shared" si="6"/>
        <v/>
      </c>
      <c r="PL100" s="2" t="str">
        <f t="shared" si="6"/>
        <v/>
      </c>
      <c r="PM100" s="2" t="str">
        <f t="shared" si="6"/>
        <v/>
      </c>
      <c r="PN100" s="2" t="str">
        <f t="shared" si="6"/>
        <v/>
      </c>
      <c r="PO100" s="2" t="str">
        <f t="shared" si="6"/>
        <v/>
      </c>
      <c r="PP100" s="2" t="str">
        <f t="shared" si="6"/>
        <v/>
      </c>
      <c r="PQ100" s="2" t="str">
        <f t="shared" si="6"/>
        <v/>
      </c>
      <c r="PR100" s="2" t="str">
        <f t="shared" si="6"/>
        <v/>
      </c>
      <c r="PS100" s="2" t="str">
        <f t="shared" si="6"/>
        <v/>
      </c>
      <c r="PT100" s="2" t="str">
        <f t="shared" si="6"/>
        <v/>
      </c>
      <c r="PU100" s="2" t="str">
        <f t="shared" si="6"/>
        <v/>
      </c>
      <c r="PV100" s="2" t="str">
        <f t="shared" si="6"/>
        <v/>
      </c>
      <c r="PW100" s="2" t="str">
        <f t="shared" si="6"/>
        <v/>
      </c>
      <c r="PX100" s="2" t="str">
        <f t="shared" si="6"/>
        <v/>
      </c>
      <c r="PY100" s="2" t="str">
        <f t="shared" si="6"/>
        <v/>
      </c>
      <c r="PZ100" s="2" t="str">
        <f t="shared" si="6"/>
        <v/>
      </c>
      <c r="QA100" s="2" t="str">
        <f t="shared" si="6"/>
        <v/>
      </c>
      <c r="QB100" s="2" t="str">
        <f t="shared" si="6"/>
        <v/>
      </c>
      <c r="QC100" s="2" t="str">
        <f t="shared" si="6"/>
        <v/>
      </c>
      <c r="QD100" s="2" t="str">
        <f t="shared" si="6"/>
        <v/>
      </c>
      <c r="QE100" s="2" t="str">
        <f t="shared" si="6"/>
        <v/>
      </c>
      <c r="QF100" s="2" t="str">
        <f t="shared" si="6"/>
        <v/>
      </c>
      <c r="QG100" s="2" t="str">
        <f t="shared" si="6"/>
        <v/>
      </c>
      <c r="QH100" s="2" t="str">
        <f t="shared" ref="QH100:SS100" si="7">IF(OR(QG100="",QG100&gt;=Upper),"",MIN(Upper,IFERROR(SMALL(Cand,COUNTIF(Cand,"&lt;="&amp;QG100)+1),Upper)))</f>
        <v/>
      </c>
      <c r="QI100" s="2" t="str">
        <f t="shared" si="7"/>
        <v/>
      </c>
      <c r="QJ100" s="2" t="str">
        <f t="shared" si="7"/>
        <v/>
      </c>
      <c r="QK100" s="2" t="str">
        <f t="shared" si="7"/>
        <v/>
      </c>
      <c r="QL100" s="2" t="str">
        <f t="shared" si="7"/>
        <v/>
      </c>
      <c r="QM100" s="2" t="str">
        <f t="shared" si="7"/>
        <v/>
      </c>
      <c r="QN100" s="2" t="str">
        <f t="shared" si="7"/>
        <v/>
      </c>
      <c r="QO100" s="2" t="str">
        <f t="shared" si="7"/>
        <v/>
      </c>
      <c r="QP100" s="2" t="str">
        <f t="shared" si="7"/>
        <v/>
      </c>
      <c r="QQ100" s="2" t="str">
        <f t="shared" si="7"/>
        <v/>
      </c>
      <c r="QR100" s="2" t="str">
        <f t="shared" si="7"/>
        <v/>
      </c>
      <c r="QS100" s="2" t="str">
        <f t="shared" si="7"/>
        <v/>
      </c>
      <c r="QT100" s="2" t="str">
        <f t="shared" si="7"/>
        <v/>
      </c>
      <c r="QU100" s="2" t="str">
        <f t="shared" si="7"/>
        <v/>
      </c>
      <c r="QV100" s="2" t="str">
        <f t="shared" si="7"/>
        <v/>
      </c>
      <c r="QW100" s="2" t="str">
        <f t="shared" si="7"/>
        <v/>
      </c>
      <c r="QX100" s="2" t="str">
        <f t="shared" si="7"/>
        <v/>
      </c>
      <c r="QY100" s="2" t="str">
        <f t="shared" si="7"/>
        <v/>
      </c>
      <c r="QZ100" s="2" t="str">
        <f t="shared" si="7"/>
        <v/>
      </c>
      <c r="RA100" s="2" t="str">
        <f t="shared" si="7"/>
        <v/>
      </c>
      <c r="RB100" s="2" t="str">
        <f t="shared" si="7"/>
        <v/>
      </c>
      <c r="RC100" s="2" t="str">
        <f t="shared" si="7"/>
        <v/>
      </c>
      <c r="RD100" s="2" t="str">
        <f t="shared" si="7"/>
        <v/>
      </c>
      <c r="RE100" s="2" t="str">
        <f t="shared" si="7"/>
        <v/>
      </c>
      <c r="RF100" s="2" t="str">
        <f t="shared" si="7"/>
        <v/>
      </c>
      <c r="RG100" s="2" t="str">
        <f t="shared" si="7"/>
        <v/>
      </c>
      <c r="RH100" s="2" t="str">
        <f t="shared" si="7"/>
        <v/>
      </c>
      <c r="RI100" s="2" t="str">
        <f t="shared" si="7"/>
        <v/>
      </c>
      <c r="RJ100" s="2" t="str">
        <f t="shared" si="7"/>
        <v/>
      </c>
      <c r="RK100" s="2" t="str">
        <f t="shared" si="7"/>
        <v/>
      </c>
      <c r="RL100" s="2" t="str">
        <f t="shared" si="7"/>
        <v/>
      </c>
      <c r="RM100" s="2" t="str">
        <f t="shared" si="7"/>
        <v/>
      </c>
      <c r="RN100" s="2" t="str">
        <f t="shared" si="7"/>
        <v/>
      </c>
      <c r="RO100" s="2" t="str">
        <f t="shared" si="7"/>
        <v/>
      </c>
      <c r="RP100" s="2" t="str">
        <f t="shared" si="7"/>
        <v/>
      </c>
      <c r="RQ100" s="2" t="str">
        <f t="shared" si="7"/>
        <v/>
      </c>
      <c r="RR100" s="2" t="str">
        <f t="shared" si="7"/>
        <v/>
      </c>
      <c r="RS100" s="2" t="str">
        <f t="shared" si="7"/>
        <v/>
      </c>
      <c r="RT100" s="2" t="str">
        <f t="shared" si="7"/>
        <v/>
      </c>
      <c r="RU100" s="2" t="str">
        <f t="shared" si="7"/>
        <v/>
      </c>
      <c r="RV100" s="2" t="str">
        <f t="shared" si="7"/>
        <v/>
      </c>
      <c r="RW100" s="2" t="str">
        <f t="shared" si="7"/>
        <v/>
      </c>
      <c r="RX100" s="2" t="str">
        <f t="shared" si="7"/>
        <v/>
      </c>
      <c r="RY100" s="2" t="str">
        <f t="shared" si="7"/>
        <v/>
      </c>
      <c r="RZ100" s="2" t="str">
        <f t="shared" si="7"/>
        <v/>
      </c>
      <c r="SA100" s="2" t="str">
        <f t="shared" si="7"/>
        <v/>
      </c>
      <c r="SB100" s="2" t="str">
        <f t="shared" si="7"/>
        <v/>
      </c>
      <c r="SC100" s="2" t="str">
        <f t="shared" si="7"/>
        <v/>
      </c>
      <c r="SD100" s="2" t="str">
        <f t="shared" si="7"/>
        <v/>
      </c>
      <c r="SE100" s="2" t="str">
        <f t="shared" si="7"/>
        <v/>
      </c>
      <c r="SF100" s="2" t="str">
        <f t="shared" si="7"/>
        <v/>
      </c>
      <c r="SG100" s="2" t="str">
        <f t="shared" si="7"/>
        <v/>
      </c>
      <c r="SH100" s="2" t="str">
        <f t="shared" si="7"/>
        <v/>
      </c>
      <c r="SI100" s="2" t="str">
        <f t="shared" si="7"/>
        <v/>
      </c>
      <c r="SJ100" s="2" t="str">
        <f t="shared" si="7"/>
        <v/>
      </c>
      <c r="SK100" s="2" t="str">
        <f t="shared" si="7"/>
        <v/>
      </c>
      <c r="SL100" s="2" t="str">
        <f t="shared" si="7"/>
        <v/>
      </c>
      <c r="SM100" s="2" t="str">
        <f t="shared" si="7"/>
        <v/>
      </c>
      <c r="SN100" s="2" t="str">
        <f t="shared" si="7"/>
        <v/>
      </c>
      <c r="SO100" s="2" t="str">
        <f t="shared" si="7"/>
        <v/>
      </c>
      <c r="SP100" s="2" t="str">
        <f t="shared" si="7"/>
        <v/>
      </c>
      <c r="SQ100" s="2" t="str">
        <f t="shared" si="7"/>
        <v/>
      </c>
      <c r="SR100" s="2" t="str">
        <f t="shared" si="7"/>
        <v/>
      </c>
      <c r="SS100" s="2" t="str">
        <f t="shared" si="7"/>
        <v/>
      </c>
      <c r="ST100" s="2" t="str">
        <f t="shared" ref="ST100:VE100" si="8">IF(OR(SS100="",SS100&gt;=Upper),"",MIN(Upper,IFERROR(SMALL(Cand,COUNTIF(Cand,"&lt;="&amp;SS100)+1),Upper)))</f>
        <v/>
      </c>
      <c r="SU100" s="2" t="str">
        <f t="shared" si="8"/>
        <v/>
      </c>
      <c r="SV100" s="2" t="str">
        <f t="shared" si="8"/>
        <v/>
      </c>
      <c r="SW100" s="2" t="str">
        <f t="shared" si="8"/>
        <v/>
      </c>
      <c r="SX100" s="2" t="str">
        <f t="shared" si="8"/>
        <v/>
      </c>
      <c r="SY100" s="2" t="str">
        <f t="shared" si="8"/>
        <v/>
      </c>
      <c r="SZ100" s="2" t="str">
        <f t="shared" si="8"/>
        <v/>
      </c>
      <c r="TA100" s="2" t="str">
        <f t="shared" si="8"/>
        <v/>
      </c>
      <c r="TB100" s="2" t="str">
        <f t="shared" si="8"/>
        <v/>
      </c>
      <c r="TC100" s="2" t="str">
        <f t="shared" si="8"/>
        <v/>
      </c>
      <c r="TD100" s="2" t="str">
        <f t="shared" si="8"/>
        <v/>
      </c>
      <c r="TE100" s="2" t="str">
        <f t="shared" si="8"/>
        <v/>
      </c>
      <c r="TF100" s="2" t="str">
        <f t="shared" si="8"/>
        <v/>
      </c>
      <c r="TG100" s="2" t="str">
        <f t="shared" si="8"/>
        <v/>
      </c>
      <c r="TH100" s="2" t="str">
        <f t="shared" si="8"/>
        <v/>
      </c>
      <c r="TI100" s="2" t="str">
        <f t="shared" si="8"/>
        <v/>
      </c>
      <c r="TJ100" s="2" t="str">
        <f t="shared" si="8"/>
        <v/>
      </c>
      <c r="TK100" s="2" t="str">
        <f t="shared" si="8"/>
        <v/>
      </c>
      <c r="TL100" s="2" t="str">
        <f t="shared" si="8"/>
        <v/>
      </c>
      <c r="TM100" s="2" t="str">
        <f t="shared" si="8"/>
        <v/>
      </c>
      <c r="TN100" s="2" t="str">
        <f t="shared" si="8"/>
        <v/>
      </c>
      <c r="TO100" s="2" t="str">
        <f t="shared" si="8"/>
        <v/>
      </c>
      <c r="TP100" s="2" t="str">
        <f t="shared" si="8"/>
        <v/>
      </c>
      <c r="TQ100" s="2" t="str">
        <f t="shared" si="8"/>
        <v/>
      </c>
      <c r="TR100" s="2" t="str">
        <f t="shared" si="8"/>
        <v/>
      </c>
      <c r="TS100" s="2" t="str">
        <f t="shared" si="8"/>
        <v/>
      </c>
      <c r="TT100" s="2" t="str">
        <f t="shared" si="8"/>
        <v/>
      </c>
      <c r="TU100" s="2" t="str">
        <f t="shared" si="8"/>
        <v/>
      </c>
      <c r="TV100" s="2" t="str">
        <f t="shared" si="8"/>
        <v/>
      </c>
      <c r="TW100" s="2" t="str">
        <f t="shared" si="8"/>
        <v/>
      </c>
      <c r="TX100" s="2" t="str">
        <f t="shared" si="8"/>
        <v/>
      </c>
      <c r="TY100" s="2" t="str">
        <f t="shared" si="8"/>
        <v/>
      </c>
      <c r="TZ100" s="2" t="str">
        <f t="shared" si="8"/>
        <v/>
      </c>
      <c r="UA100" s="2" t="str">
        <f t="shared" si="8"/>
        <v/>
      </c>
      <c r="UB100" s="2" t="str">
        <f t="shared" si="8"/>
        <v/>
      </c>
      <c r="UC100" s="2" t="str">
        <f t="shared" si="8"/>
        <v/>
      </c>
      <c r="UD100" s="2" t="str">
        <f t="shared" si="8"/>
        <v/>
      </c>
      <c r="UE100" s="2" t="str">
        <f t="shared" si="8"/>
        <v/>
      </c>
      <c r="UF100" s="2" t="str">
        <f t="shared" si="8"/>
        <v/>
      </c>
      <c r="UG100" s="2" t="str">
        <f t="shared" si="8"/>
        <v/>
      </c>
      <c r="UH100" s="2" t="str">
        <f t="shared" si="8"/>
        <v/>
      </c>
      <c r="UI100" s="2" t="str">
        <f t="shared" si="8"/>
        <v/>
      </c>
      <c r="UJ100" s="2" t="str">
        <f t="shared" si="8"/>
        <v/>
      </c>
      <c r="UK100" s="2" t="str">
        <f t="shared" si="8"/>
        <v/>
      </c>
      <c r="UL100" s="2" t="str">
        <f t="shared" si="8"/>
        <v/>
      </c>
      <c r="UM100" s="2" t="str">
        <f t="shared" si="8"/>
        <v/>
      </c>
      <c r="UN100" s="2" t="str">
        <f t="shared" si="8"/>
        <v/>
      </c>
      <c r="UO100" s="2" t="str">
        <f t="shared" si="8"/>
        <v/>
      </c>
      <c r="UP100" s="2" t="str">
        <f t="shared" si="8"/>
        <v/>
      </c>
      <c r="UQ100" s="2" t="str">
        <f t="shared" si="8"/>
        <v/>
      </c>
      <c r="UR100" s="2" t="str">
        <f t="shared" si="8"/>
        <v/>
      </c>
      <c r="US100" s="2" t="str">
        <f t="shared" si="8"/>
        <v/>
      </c>
      <c r="UT100" s="2" t="str">
        <f t="shared" si="8"/>
        <v/>
      </c>
      <c r="UU100" s="2" t="str">
        <f t="shared" si="8"/>
        <v/>
      </c>
      <c r="UV100" s="2" t="str">
        <f t="shared" si="8"/>
        <v/>
      </c>
      <c r="UW100" s="2" t="str">
        <f t="shared" si="8"/>
        <v/>
      </c>
      <c r="UX100" s="2" t="str">
        <f t="shared" si="8"/>
        <v/>
      </c>
      <c r="UY100" s="2" t="str">
        <f t="shared" si="8"/>
        <v/>
      </c>
      <c r="UZ100" s="2" t="str">
        <f t="shared" si="8"/>
        <v/>
      </c>
      <c r="VA100" s="2" t="str">
        <f t="shared" si="8"/>
        <v/>
      </c>
      <c r="VB100" s="2" t="str">
        <f t="shared" si="8"/>
        <v/>
      </c>
      <c r="VC100" s="2" t="str">
        <f t="shared" si="8"/>
        <v/>
      </c>
      <c r="VD100" s="2" t="str">
        <f t="shared" si="8"/>
        <v/>
      </c>
      <c r="VE100" s="2" t="str">
        <f t="shared" si="8"/>
        <v/>
      </c>
      <c r="VF100" s="2" t="str">
        <f t="shared" ref="VF100:XQ100" si="9">IF(OR(VE100="",VE100&gt;=Upper),"",MIN(Upper,IFERROR(SMALL(Cand,COUNTIF(Cand,"&lt;="&amp;VE100)+1),Upper)))</f>
        <v/>
      </c>
      <c r="VG100" s="2" t="str">
        <f t="shared" si="9"/>
        <v/>
      </c>
      <c r="VH100" s="2" t="str">
        <f t="shared" si="9"/>
        <v/>
      </c>
      <c r="VI100" s="2" t="str">
        <f t="shared" si="9"/>
        <v/>
      </c>
      <c r="VJ100" s="2" t="str">
        <f t="shared" si="9"/>
        <v/>
      </c>
      <c r="VK100" s="2" t="str">
        <f t="shared" si="9"/>
        <v/>
      </c>
      <c r="VL100" s="2" t="str">
        <f t="shared" si="9"/>
        <v/>
      </c>
      <c r="VM100" s="2" t="str">
        <f t="shared" si="9"/>
        <v/>
      </c>
      <c r="VN100" s="2" t="str">
        <f t="shared" si="9"/>
        <v/>
      </c>
      <c r="VO100" s="2" t="str">
        <f t="shared" si="9"/>
        <v/>
      </c>
      <c r="VP100" s="2" t="str">
        <f t="shared" si="9"/>
        <v/>
      </c>
      <c r="VQ100" s="2" t="str">
        <f t="shared" si="9"/>
        <v/>
      </c>
      <c r="VR100" s="2" t="str">
        <f t="shared" si="9"/>
        <v/>
      </c>
      <c r="VS100" s="2" t="str">
        <f t="shared" si="9"/>
        <v/>
      </c>
      <c r="VT100" s="2" t="str">
        <f t="shared" si="9"/>
        <v/>
      </c>
      <c r="VU100" s="2" t="str">
        <f t="shared" si="9"/>
        <v/>
      </c>
      <c r="VV100" s="2" t="str">
        <f t="shared" si="9"/>
        <v/>
      </c>
      <c r="VW100" s="2" t="str">
        <f t="shared" si="9"/>
        <v/>
      </c>
      <c r="VX100" s="2" t="str">
        <f t="shared" si="9"/>
        <v/>
      </c>
      <c r="VY100" s="2" t="str">
        <f t="shared" si="9"/>
        <v/>
      </c>
      <c r="VZ100" s="2" t="str">
        <f t="shared" si="9"/>
        <v/>
      </c>
      <c r="WA100" s="2" t="str">
        <f t="shared" si="9"/>
        <v/>
      </c>
      <c r="WB100" s="2" t="str">
        <f t="shared" si="9"/>
        <v/>
      </c>
      <c r="WC100" s="2" t="str">
        <f t="shared" si="9"/>
        <v/>
      </c>
      <c r="WD100" s="2" t="str">
        <f t="shared" si="9"/>
        <v/>
      </c>
      <c r="WE100" s="2" t="str">
        <f t="shared" si="9"/>
        <v/>
      </c>
      <c r="WF100" s="2" t="str">
        <f t="shared" si="9"/>
        <v/>
      </c>
      <c r="WG100" s="2" t="str">
        <f t="shared" si="9"/>
        <v/>
      </c>
      <c r="WH100" s="2" t="str">
        <f t="shared" si="9"/>
        <v/>
      </c>
      <c r="WI100" s="2" t="str">
        <f t="shared" si="9"/>
        <v/>
      </c>
      <c r="WJ100" s="2" t="str">
        <f t="shared" si="9"/>
        <v/>
      </c>
      <c r="WK100" s="2" t="str">
        <f t="shared" si="9"/>
        <v/>
      </c>
      <c r="WL100" s="2" t="str">
        <f t="shared" si="9"/>
        <v/>
      </c>
      <c r="WM100" s="2" t="str">
        <f t="shared" si="9"/>
        <v/>
      </c>
      <c r="WN100" s="2" t="str">
        <f t="shared" si="9"/>
        <v/>
      </c>
      <c r="WO100" s="2" t="str">
        <f t="shared" si="9"/>
        <v/>
      </c>
      <c r="WP100" s="2" t="str">
        <f t="shared" si="9"/>
        <v/>
      </c>
      <c r="WQ100" s="2" t="str">
        <f t="shared" si="9"/>
        <v/>
      </c>
      <c r="WR100" s="2" t="str">
        <f t="shared" si="9"/>
        <v/>
      </c>
      <c r="WS100" s="2" t="str">
        <f t="shared" si="9"/>
        <v/>
      </c>
      <c r="WT100" s="2" t="str">
        <f t="shared" si="9"/>
        <v/>
      </c>
      <c r="WU100" s="2" t="str">
        <f t="shared" si="9"/>
        <v/>
      </c>
      <c r="WV100" s="2" t="str">
        <f t="shared" si="9"/>
        <v/>
      </c>
      <c r="WW100" s="2" t="str">
        <f t="shared" si="9"/>
        <v/>
      </c>
      <c r="WX100" s="2" t="str">
        <f t="shared" si="9"/>
        <v/>
      </c>
      <c r="WY100" s="2" t="str">
        <f t="shared" si="9"/>
        <v/>
      </c>
      <c r="WZ100" s="2" t="str">
        <f t="shared" si="9"/>
        <v/>
      </c>
      <c r="XA100" s="2" t="str">
        <f t="shared" si="9"/>
        <v/>
      </c>
      <c r="XB100" s="2" t="str">
        <f t="shared" si="9"/>
        <v/>
      </c>
      <c r="XC100" s="2" t="str">
        <f t="shared" si="9"/>
        <v/>
      </c>
      <c r="XD100" s="2" t="str">
        <f t="shared" si="9"/>
        <v/>
      </c>
      <c r="XE100" s="2" t="str">
        <f t="shared" si="9"/>
        <v/>
      </c>
      <c r="XF100" s="2" t="str">
        <f t="shared" si="9"/>
        <v/>
      </c>
      <c r="XG100" s="2" t="str">
        <f t="shared" si="9"/>
        <v/>
      </c>
      <c r="XH100" s="2" t="str">
        <f t="shared" si="9"/>
        <v/>
      </c>
      <c r="XI100" s="2" t="str">
        <f t="shared" si="9"/>
        <v/>
      </c>
      <c r="XJ100" s="2" t="str">
        <f t="shared" si="9"/>
        <v/>
      </c>
      <c r="XK100" s="2" t="str">
        <f t="shared" si="9"/>
        <v/>
      </c>
      <c r="XL100" s="2" t="str">
        <f t="shared" si="9"/>
        <v/>
      </c>
      <c r="XM100" s="2" t="str">
        <f t="shared" si="9"/>
        <v/>
      </c>
      <c r="XN100" s="2" t="str">
        <f t="shared" si="9"/>
        <v/>
      </c>
      <c r="XO100" s="2" t="str">
        <f t="shared" si="9"/>
        <v/>
      </c>
      <c r="XP100" s="2" t="str">
        <f t="shared" si="9"/>
        <v/>
      </c>
      <c r="XQ100" s="2" t="str">
        <f t="shared" si="9"/>
        <v/>
      </c>
      <c r="XR100" s="2" t="str">
        <f t="shared" ref="XR100:AAC100" si="10">IF(OR(XQ100="",XQ100&gt;=Upper),"",MIN(Upper,IFERROR(SMALL(Cand,COUNTIF(Cand,"&lt;="&amp;XQ100)+1),Upper)))</f>
        <v/>
      </c>
      <c r="XS100" s="2" t="str">
        <f t="shared" si="10"/>
        <v/>
      </c>
      <c r="XT100" s="2" t="str">
        <f t="shared" si="10"/>
        <v/>
      </c>
      <c r="XU100" s="2" t="str">
        <f t="shared" si="10"/>
        <v/>
      </c>
      <c r="XV100" s="2" t="str">
        <f t="shared" si="10"/>
        <v/>
      </c>
      <c r="XW100" s="2" t="str">
        <f t="shared" si="10"/>
        <v/>
      </c>
      <c r="XX100" s="2" t="str">
        <f t="shared" si="10"/>
        <v/>
      </c>
      <c r="XY100" s="2" t="str">
        <f t="shared" si="10"/>
        <v/>
      </c>
      <c r="XZ100" s="2" t="str">
        <f t="shared" si="10"/>
        <v/>
      </c>
      <c r="YA100" s="2" t="str">
        <f t="shared" si="10"/>
        <v/>
      </c>
      <c r="YB100" s="2" t="str">
        <f t="shared" si="10"/>
        <v/>
      </c>
      <c r="YC100" s="2" t="str">
        <f t="shared" si="10"/>
        <v/>
      </c>
      <c r="YD100" s="2" t="str">
        <f t="shared" si="10"/>
        <v/>
      </c>
      <c r="YE100" s="2" t="str">
        <f t="shared" si="10"/>
        <v/>
      </c>
      <c r="YF100" s="2" t="str">
        <f t="shared" si="10"/>
        <v/>
      </c>
      <c r="YG100" s="2" t="str">
        <f t="shared" si="10"/>
        <v/>
      </c>
      <c r="YH100" s="2" t="str">
        <f t="shared" si="10"/>
        <v/>
      </c>
      <c r="YI100" s="2" t="str">
        <f t="shared" si="10"/>
        <v/>
      </c>
      <c r="YJ100" s="2" t="str">
        <f t="shared" si="10"/>
        <v/>
      </c>
      <c r="YK100" s="2" t="str">
        <f t="shared" si="10"/>
        <v/>
      </c>
      <c r="YL100" s="2" t="str">
        <f t="shared" si="10"/>
        <v/>
      </c>
      <c r="YM100" s="2" t="str">
        <f t="shared" si="10"/>
        <v/>
      </c>
      <c r="YN100" s="2" t="str">
        <f t="shared" si="10"/>
        <v/>
      </c>
      <c r="YO100" s="2" t="str">
        <f t="shared" si="10"/>
        <v/>
      </c>
      <c r="YP100" s="2" t="str">
        <f t="shared" si="10"/>
        <v/>
      </c>
      <c r="YQ100" s="2" t="str">
        <f t="shared" si="10"/>
        <v/>
      </c>
      <c r="YR100" s="2" t="str">
        <f t="shared" si="10"/>
        <v/>
      </c>
      <c r="YS100" s="2" t="str">
        <f t="shared" si="10"/>
        <v/>
      </c>
      <c r="YT100" s="2" t="str">
        <f t="shared" si="10"/>
        <v/>
      </c>
      <c r="YU100" s="2" t="str">
        <f t="shared" si="10"/>
        <v/>
      </c>
      <c r="YV100" s="2" t="str">
        <f t="shared" si="10"/>
        <v/>
      </c>
      <c r="YW100" s="2" t="str">
        <f t="shared" si="10"/>
        <v/>
      </c>
      <c r="YX100" s="2" t="str">
        <f t="shared" si="10"/>
        <v/>
      </c>
      <c r="YY100" s="2" t="str">
        <f t="shared" si="10"/>
        <v/>
      </c>
      <c r="YZ100" s="2" t="str">
        <f t="shared" si="10"/>
        <v/>
      </c>
      <c r="ZA100" s="2" t="str">
        <f t="shared" si="10"/>
        <v/>
      </c>
      <c r="ZB100" s="2" t="str">
        <f t="shared" si="10"/>
        <v/>
      </c>
      <c r="ZC100" s="2" t="str">
        <f t="shared" si="10"/>
        <v/>
      </c>
      <c r="ZD100" s="2" t="str">
        <f t="shared" si="10"/>
        <v/>
      </c>
      <c r="ZE100" s="2" t="str">
        <f t="shared" si="10"/>
        <v/>
      </c>
      <c r="ZF100" s="2" t="str">
        <f t="shared" si="10"/>
        <v/>
      </c>
      <c r="ZG100" s="2" t="str">
        <f t="shared" si="10"/>
        <v/>
      </c>
      <c r="ZH100" s="2" t="str">
        <f t="shared" si="10"/>
        <v/>
      </c>
      <c r="ZI100" s="2" t="str">
        <f t="shared" si="10"/>
        <v/>
      </c>
      <c r="ZJ100" s="2" t="str">
        <f t="shared" si="10"/>
        <v/>
      </c>
      <c r="ZK100" s="2" t="str">
        <f t="shared" si="10"/>
        <v/>
      </c>
      <c r="ZL100" s="2" t="str">
        <f t="shared" si="10"/>
        <v/>
      </c>
      <c r="ZM100" s="2" t="str">
        <f t="shared" si="10"/>
        <v/>
      </c>
      <c r="ZN100" s="2" t="str">
        <f t="shared" si="10"/>
        <v/>
      </c>
      <c r="ZO100" s="2" t="str">
        <f t="shared" si="10"/>
        <v/>
      </c>
      <c r="ZP100" s="2" t="str">
        <f t="shared" si="10"/>
        <v/>
      </c>
      <c r="ZQ100" s="2" t="str">
        <f t="shared" si="10"/>
        <v/>
      </c>
      <c r="ZR100" s="2" t="str">
        <f t="shared" si="10"/>
        <v/>
      </c>
      <c r="ZS100" s="2" t="str">
        <f t="shared" si="10"/>
        <v/>
      </c>
      <c r="ZT100" s="2" t="str">
        <f t="shared" si="10"/>
        <v/>
      </c>
      <c r="ZU100" s="2" t="str">
        <f t="shared" si="10"/>
        <v/>
      </c>
      <c r="ZV100" s="2" t="str">
        <f t="shared" si="10"/>
        <v/>
      </c>
      <c r="ZW100" s="2" t="str">
        <f t="shared" si="10"/>
        <v/>
      </c>
      <c r="ZX100" s="2" t="str">
        <f t="shared" si="10"/>
        <v/>
      </c>
      <c r="ZY100" s="2" t="str">
        <f t="shared" si="10"/>
        <v/>
      </c>
      <c r="ZZ100" s="2" t="str">
        <f t="shared" si="10"/>
        <v/>
      </c>
      <c r="AAA100" s="2" t="str">
        <f t="shared" si="10"/>
        <v/>
      </c>
      <c r="AAB100" s="2" t="str">
        <f t="shared" si="10"/>
        <v/>
      </c>
      <c r="AAC100" s="2" t="str">
        <f t="shared" si="10"/>
        <v/>
      </c>
      <c r="AAD100" s="2" t="str">
        <f t="shared" ref="AAD100:ACO100" si="11">IF(OR(AAC100="",AAC100&gt;=Upper),"",MIN(Upper,IFERROR(SMALL(Cand,COUNTIF(Cand,"&lt;="&amp;AAC100)+1),Upper)))</f>
        <v/>
      </c>
      <c r="AAE100" s="2" t="str">
        <f t="shared" si="11"/>
        <v/>
      </c>
      <c r="AAF100" s="2" t="str">
        <f t="shared" si="11"/>
        <v/>
      </c>
      <c r="AAG100" s="2" t="str">
        <f t="shared" si="11"/>
        <v/>
      </c>
      <c r="AAH100" s="2" t="str">
        <f t="shared" si="11"/>
        <v/>
      </c>
      <c r="AAI100" s="2" t="str">
        <f t="shared" si="11"/>
        <v/>
      </c>
      <c r="AAJ100" s="2" t="str">
        <f t="shared" si="11"/>
        <v/>
      </c>
      <c r="AAK100" s="2" t="str">
        <f t="shared" si="11"/>
        <v/>
      </c>
      <c r="AAL100" s="2" t="str">
        <f t="shared" si="11"/>
        <v/>
      </c>
      <c r="AAM100" s="2" t="str">
        <f t="shared" si="11"/>
        <v/>
      </c>
      <c r="AAN100" s="2" t="str">
        <f t="shared" si="11"/>
        <v/>
      </c>
      <c r="AAO100" s="2" t="str">
        <f t="shared" si="11"/>
        <v/>
      </c>
      <c r="AAP100" s="2" t="str">
        <f t="shared" si="11"/>
        <v/>
      </c>
      <c r="AAQ100" s="2" t="str">
        <f t="shared" si="11"/>
        <v/>
      </c>
      <c r="AAR100" s="2" t="str">
        <f t="shared" si="11"/>
        <v/>
      </c>
      <c r="AAS100" s="2" t="str">
        <f t="shared" si="11"/>
        <v/>
      </c>
      <c r="AAT100" s="2" t="str">
        <f t="shared" si="11"/>
        <v/>
      </c>
      <c r="AAU100" s="2" t="str">
        <f t="shared" si="11"/>
        <v/>
      </c>
      <c r="AAV100" s="2" t="str">
        <f t="shared" si="11"/>
        <v/>
      </c>
      <c r="AAW100" s="2" t="str">
        <f t="shared" si="11"/>
        <v/>
      </c>
      <c r="AAX100" s="2" t="str">
        <f t="shared" si="11"/>
        <v/>
      </c>
      <c r="AAY100" s="2" t="str">
        <f t="shared" si="11"/>
        <v/>
      </c>
      <c r="AAZ100" s="2" t="str">
        <f t="shared" si="11"/>
        <v/>
      </c>
      <c r="ABA100" s="2" t="str">
        <f t="shared" si="11"/>
        <v/>
      </c>
      <c r="ABB100" s="2" t="str">
        <f t="shared" si="11"/>
        <v/>
      </c>
      <c r="ABC100" s="2" t="str">
        <f t="shared" si="11"/>
        <v/>
      </c>
      <c r="ABD100" s="2" t="str">
        <f t="shared" si="11"/>
        <v/>
      </c>
      <c r="ABE100" s="2" t="str">
        <f t="shared" si="11"/>
        <v/>
      </c>
      <c r="ABF100" s="2" t="str">
        <f t="shared" si="11"/>
        <v/>
      </c>
      <c r="ABG100" s="2" t="str">
        <f t="shared" si="11"/>
        <v/>
      </c>
      <c r="ABH100" s="2" t="str">
        <f t="shared" si="11"/>
        <v/>
      </c>
      <c r="ABI100" s="2" t="str">
        <f t="shared" si="11"/>
        <v/>
      </c>
      <c r="ABJ100" s="2" t="str">
        <f t="shared" si="11"/>
        <v/>
      </c>
      <c r="ABK100" s="2" t="str">
        <f t="shared" si="11"/>
        <v/>
      </c>
      <c r="ABL100" s="2" t="str">
        <f t="shared" si="11"/>
        <v/>
      </c>
      <c r="ABM100" s="2" t="str">
        <f t="shared" si="11"/>
        <v/>
      </c>
      <c r="ABN100" s="2" t="str">
        <f t="shared" si="11"/>
        <v/>
      </c>
      <c r="ABO100" s="2" t="str">
        <f t="shared" si="11"/>
        <v/>
      </c>
      <c r="ABP100" s="2" t="str">
        <f t="shared" si="11"/>
        <v/>
      </c>
      <c r="ABQ100" s="2" t="str">
        <f t="shared" si="11"/>
        <v/>
      </c>
      <c r="ABR100" s="2" t="str">
        <f t="shared" si="11"/>
        <v/>
      </c>
      <c r="ABS100" s="2" t="str">
        <f t="shared" si="11"/>
        <v/>
      </c>
      <c r="ABT100" s="2" t="str">
        <f t="shared" si="11"/>
        <v/>
      </c>
      <c r="ABU100" s="2" t="str">
        <f t="shared" si="11"/>
        <v/>
      </c>
      <c r="ABV100" s="2" t="str">
        <f t="shared" si="11"/>
        <v/>
      </c>
      <c r="ABW100" s="2" t="str">
        <f t="shared" si="11"/>
        <v/>
      </c>
      <c r="ABX100" s="2" t="str">
        <f t="shared" si="11"/>
        <v/>
      </c>
      <c r="ABY100" s="2" t="str">
        <f t="shared" si="11"/>
        <v/>
      </c>
      <c r="ABZ100" s="2" t="str">
        <f t="shared" si="11"/>
        <v/>
      </c>
      <c r="ACA100" s="2" t="str">
        <f t="shared" si="11"/>
        <v/>
      </c>
      <c r="ACB100" s="2" t="str">
        <f t="shared" si="11"/>
        <v/>
      </c>
      <c r="ACC100" s="2" t="str">
        <f t="shared" si="11"/>
        <v/>
      </c>
      <c r="ACD100" s="2" t="str">
        <f t="shared" si="11"/>
        <v/>
      </c>
      <c r="ACE100" s="2" t="str">
        <f t="shared" si="11"/>
        <v/>
      </c>
      <c r="ACF100" s="2" t="str">
        <f t="shared" si="11"/>
        <v/>
      </c>
      <c r="ACG100" s="2" t="str">
        <f t="shared" si="11"/>
        <v/>
      </c>
      <c r="ACH100" s="2" t="str">
        <f t="shared" si="11"/>
        <v/>
      </c>
      <c r="ACI100" s="2" t="str">
        <f t="shared" si="11"/>
        <v/>
      </c>
      <c r="ACJ100" s="2" t="str">
        <f t="shared" si="11"/>
        <v/>
      </c>
      <c r="ACK100" s="2" t="str">
        <f t="shared" si="11"/>
        <v/>
      </c>
      <c r="ACL100" s="2" t="str">
        <f t="shared" si="11"/>
        <v/>
      </c>
      <c r="ACM100" s="2" t="str">
        <f t="shared" si="11"/>
        <v/>
      </c>
      <c r="ACN100" s="2" t="str">
        <f t="shared" si="11"/>
        <v/>
      </c>
      <c r="ACO100" s="2" t="str">
        <f t="shared" si="11"/>
        <v/>
      </c>
      <c r="ACP100" s="2" t="str">
        <f t="shared" ref="ACP100:AFA100" si="12">IF(OR(ACO100="",ACO100&gt;=Upper),"",MIN(Upper,IFERROR(SMALL(Cand,COUNTIF(Cand,"&lt;="&amp;ACO100)+1),Upper)))</f>
        <v/>
      </c>
      <c r="ACQ100" s="2" t="str">
        <f t="shared" si="12"/>
        <v/>
      </c>
      <c r="ACR100" s="2" t="str">
        <f t="shared" si="12"/>
        <v/>
      </c>
      <c r="ACS100" s="2" t="str">
        <f t="shared" si="12"/>
        <v/>
      </c>
      <c r="ACT100" s="2" t="str">
        <f t="shared" si="12"/>
        <v/>
      </c>
      <c r="ACU100" s="2" t="str">
        <f t="shared" si="12"/>
        <v/>
      </c>
      <c r="ACV100" s="2" t="str">
        <f t="shared" si="12"/>
        <v/>
      </c>
      <c r="ACW100" s="2" t="str">
        <f t="shared" si="12"/>
        <v/>
      </c>
      <c r="ACX100" s="2" t="str">
        <f t="shared" si="12"/>
        <v/>
      </c>
      <c r="ACY100" s="2" t="str">
        <f t="shared" si="12"/>
        <v/>
      </c>
      <c r="ACZ100" s="2" t="str">
        <f t="shared" si="12"/>
        <v/>
      </c>
      <c r="ADA100" s="2" t="str">
        <f t="shared" si="12"/>
        <v/>
      </c>
      <c r="ADB100" s="2" t="str">
        <f t="shared" si="12"/>
        <v/>
      </c>
      <c r="ADC100" s="2" t="str">
        <f t="shared" si="12"/>
        <v/>
      </c>
      <c r="ADD100" s="2" t="str">
        <f t="shared" si="12"/>
        <v/>
      </c>
      <c r="ADE100" s="2" t="str">
        <f t="shared" si="12"/>
        <v/>
      </c>
      <c r="ADF100" s="2" t="str">
        <f t="shared" si="12"/>
        <v/>
      </c>
      <c r="ADG100" s="2" t="str">
        <f t="shared" si="12"/>
        <v/>
      </c>
      <c r="ADH100" s="2" t="str">
        <f t="shared" si="12"/>
        <v/>
      </c>
      <c r="ADI100" s="2" t="str">
        <f t="shared" si="12"/>
        <v/>
      </c>
      <c r="ADJ100" s="2" t="str">
        <f t="shared" si="12"/>
        <v/>
      </c>
      <c r="ADK100" s="2" t="str">
        <f t="shared" si="12"/>
        <v/>
      </c>
      <c r="ADL100" s="2" t="str">
        <f t="shared" si="12"/>
        <v/>
      </c>
      <c r="ADM100" s="2" t="str">
        <f t="shared" si="12"/>
        <v/>
      </c>
      <c r="ADN100" s="2" t="str">
        <f t="shared" si="12"/>
        <v/>
      </c>
      <c r="ADO100" s="2" t="str">
        <f t="shared" si="12"/>
        <v/>
      </c>
      <c r="ADP100" s="2" t="str">
        <f t="shared" si="12"/>
        <v/>
      </c>
      <c r="ADQ100" s="2" t="str">
        <f t="shared" si="12"/>
        <v/>
      </c>
      <c r="ADR100" s="2" t="str">
        <f t="shared" si="12"/>
        <v/>
      </c>
      <c r="ADS100" s="2" t="str">
        <f t="shared" si="12"/>
        <v/>
      </c>
      <c r="ADT100" s="2" t="str">
        <f t="shared" si="12"/>
        <v/>
      </c>
      <c r="ADU100" s="2" t="str">
        <f t="shared" si="12"/>
        <v/>
      </c>
      <c r="ADV100" s="2" t="str">
        <f t="shared" si="12"/>
        <v/>
      </c>
      <c r="ADW100" s="2" t="str">
        <f t="shared" si="12"/>
        <v/>
      </c>
      <c r="ADX100" s="2" t="str">
        <f t="shared" si="12"/>
        <v/>
      </c>
      <c r="ADY100" s="2" t="str">
        <f t="shared" si="12"/>
        <v/>
      </c>
      <c r="ADZ100" s="2" t="str">
        <f t="shared" si="12"/>
        <v/>
      </c>
      <c r="AEA100" s="2" t="str">
        <f t="shared" si="12"/>
        <v/>
      </c>
      <c r="AEB100" s="2" t="str">
        <f t="shared" si="12"/>
        <v/>
      </c>
      <c r="AEC100" s="2" t="str">
        <f t="shared" si="12"/>
        <v/>
      </c>
      <c r="AED100" s="2" t="str">
        <f t="shared" si="12"/>
        <v/>
      </c>
      <c r="AEE100" s="2" t="str">
        <f t="shared" si="12"/>
        <v/>
      </c>
      <c r="AEF100" s="2" t="str">
        <f t="shared" si="12"/>
        <v/>
      </c>
      <c r="AEG100" s="2" t="str">
        <f t="shared" si="12"/>
        <v/>
      </c>
      <c r="AEH100" s="2" t="str">
        <f t="shared" si="12"/>
        <v/>
      </c>
      <c r="AEI100" s="2" t="str">
        <f t="shared" si="12"/>
        <v/>
      </c>
      <c r="AEJ100" s="2" t="str">
        <f t="shared" si="12"/>
        <v/>
      </c>
      <c r="AEK100" s="2" t="str">
        <f t="shared" si="12"/>
        <v/>
      </c>
      <c r="AEL100" s="2" t="str">
        <f t="shared" si="12"/>
        <v/>
      </c>
      <c r="AEM100" s="2" t="str">
        <f t="shared" si="12"/>
        <v/>
      </c>
      <c r="AEN100" s="2" t="str">
        <f t="shared" si="12"/>
        <v/>
      </c>
      <c r="AEO100" s="2" t="str">
        <f t="shared" si="12"/>
        <v/>
      </c>
      <c r="AEP100" s="2" t="str">
        <f t="shared" si="12"/>
        <v/>
      </c>
      <c r="AEQ100" s="2" t="str">
        <f t="shared" si="12"/>
        <v/>
      </c>
      <c r="AER100" s="2" t="str">
        <f t="shared" si="12"/>
        <v/>
      </c>
      <c r="AES100" s="2" t="str">
        <f t="shared" si="12"/>
        <v/>
      </c>
      <c r="AET100" s="2" t="str">
        <f t="shared" si="12"/>
        <v/>
      </c>
      <c r="AEU100" s="2" t="str">
        <f t="shared" si="12"/>
        <v/>
      </c>
      <c r="AEV100" s="2" t="str">
        <f t="shared" si="12"/>
        <v/>
      </c>
      <c r="AEW100" s="2" t="str">
        <f t="shared" si="12"/>
        <v/>
      </c>
      <c r="AEX100" s="2" t="str">
        <f t="shared" si="12"/>
        <v/>
      </c>
      <c r="AEY100" s="2" t="str">
        <f t="shared" si="12"/>
        <v/>
      </c>
      <c r="AEZ100" s="2" t="str">
        <f t="shared" si="12"/>
        <v/>
      </c>
      <c r="AFA100" s="2" t="str">
        <f t="shared" si="12"/>
        <v/>
      </c>
      <c r="AFB100" s="2" t="str">
        <f t="shared" ref="AFB100:AHM100" si="13">IF(OR(AFA100="",AFA100&gt;=Upper),"",MIN(Upper,IFERROR(SMALL(Cand,COUNTIF(Cand,"&lt;="&amp;AFA100)+1),Upper)))</f>
        <v/>
      </c>
      <c r="AFC100" s="2" t="str">
        <f t="shared" si="13"/>
        <v/>
      </c>
      <c r="AFD100" s="2" t="str">
        <f t="shared" si="13"/>
        <v/>
      </c>
      <c r="AFE100" s="2" t="str">
        <f t="shared" si="13"/>
        <v/>
      </c>
      <c r="AFF100" s="2" t="str">
        <f t="shared" si="13"/>
        <v/>
      </c>
      <c r="AFG100" s="2" t="str">
        <f t="shared" si="13"/>
        <v/>
      </c>
      <c r="AFH100" s="2" t="str">
        <f t="shared" si="13"/>
        <v/>
      </c>
      <c r="AFI100" s="2" t="str">
        <f t="shared" si="13"/>
        <v/>
      </c>
      <c r="AFJ100" s="2" t="str">
        <f t="shared" si="13"/>
        <v/>
      </c>
      <c r="AFK100" s="2" t="str">
        <f t="shared" si="13"/>
        <v/>
      </c>
      <c r="AFL100" s="2" t="str">
        <f t="shared" si="13"/>
        <v/>
      </c>
      <c r="AFM100" s="2" t="str">
        <f t="shared" si="13"/>
        <v/>
      </c>
      <c r="AFN100" s="2" t="str">
        <f t="shared" si="13"/>
        <v/>
      </c>
      <c r="AFO100" s="2" t="str">
        <f t="shared" si="13"/>
        <v/>
      </c>
      <c r="AFP100" s="2" t="str">
        <f t="shared" si="13"/>
        <v/>
      </c>
      <c r="AFQ100" s="2" t="str">
        <f t="shared" si="13"/>
        <v/>
      </c>
      <c r="AFR100" s="2" t="str">
        <f t="shared" si="13"/>
        <v/>
      </c>
      <c r="AFS100" s="2" t="str">
        <f t="shared" si="13"/>
        <v/>
      </c>
      <c r="AFT100" s="2" t="str">
        <f t="shared" si="13"/>
        <v/>
      </c>
      <c r="AFU100" s="2" t="str">
        <f t="shared" si="13"/>
        <v/>
      </c>
      <c r="AFV100" s="2" t="str">
        <f t="shared" si="13"/>
        <v/>
      </c>
      <c r="AFW100" s="2" t="str">
        <f t="shared" si="13"/>
        <v/>
      </c>
      <c r="AFX100" s="2" t="str">
        <f t="shared" si="13"/>
        <v/>
      </c>
      <c r="AFY100" s="2" t="str">
        <f t="shared" si="13"/>
        <v/>
      </c>
      <c r="AFZ100" s="2" t="str">
        <f t="shared" si="13"/>
        <v/>
      </c>
      <c r="AGA100" s="2" t="str">
        <f t="shared" si="13"/>
        <v/>
      </c>
      <c r="AGB100" s="2" t="str">
        <f t="shared" si="13"/>
        <v/>
      </c>
      <c r="AGC100" s="2" t="str">
        <f t="shared" si="13"/>
        <v/>
      </c>
      <c r="AGD100" s="2" t="str">
        <f t="shared" si="13"/>
        <v/>
      </c>
      <c r="AGE100" s="2" t="str">
        <f t="shared" si="13"/>
        <v/>
      </c>
      <c r="AGF100" s="2" t="str">
        <f t="shared" si="13"/>
        <v/>
      </c>
      <c r="AGG100" s="2" t="str">
        <f t="shared" si="13"/>
        <v/>
      </c>
      <c r="AGH100" s="2" t="str">
        <f t="shared" si="13"/>
        <v/>
      </c>
      <c r="AGI100" s="2" t="str">
        <f t="shared" si="13"/>
        <v/>
      </c>
      <c r="AGJ100" s="2" t="str">
        <f t="shared" si="13"/>
        <v/>
      </c>
      <c r="AGK100" s="2" t="str">
        <f t="shared" si="13"/>
        <v/>
      </c>
      <c r="AGL100" s="2" t="str">
        <f t="shared" si="13"/>
        <v/>
      </c>
      <c r="AGM100" s="2" t="str">
        <f t="shared" si="13"/>
        <v/>
      </c>
      <c r="AGN100" s="2" t="str">
        <f t="shared" si="13"/>
        <v/>
      </c>
      <c r="AGO100" s="2" t="str">
        <f t="shared" si="13"/>
        <v/>
      </c>
      <c r="AGP100" s="2" t="str">
        <f t="shared" si="13"/>
        <v/>
      </c>
      <c r="AGQ100" s="2" t="str">
        <f t="shared" si="13"/>
        <v/>
      </c>
      <c r="AGR100" s="2" t="str">
        <f t="shared" si="13"/>
        <v/>
      </c>
      <c r="AGS100" s="2" t="str">
        <f t="shared" si="13"/>
        <v/>
      </c>
      <c r="AGT100" s="2" t="str">
        <f t="shared" si="13"/>
        <v/>
      </c>
      <c r="AGU100" s="2" t="str">
        <f t="shared" si="13"/>
        <v/>
      </c>
      <c r="AGV100" s="2" t="str">
        <f t="shared" si="13"/>
        <v/>
      </c>
      <c r="AGW100" s="2" t="str">
        <f t="shared" si="13"/>
        <v/>
      </c>
      <c r="AGX100" s="2" t="str">
        <f t="shared" si="13"/>
        <v/>
      </c>
      <c r="AGY100" s="2" t="str">
        <f t="shared" si="13"/>
        <v/>
      </c>
      <c r="AGZ100" s="2" t="str">
        <f t="shared" si="13"/>
        <v/>
      </c>
      <c r="AHA100" s="2" t="str">
        <f t="shared" si="13"/>
        <v/>
      </c>
      <c r="AHB100" s="2" t="str">
        <f t="shared" si="13"/>
        <v/>
      </c>
      <c r="AHC100" s="2" t="str">
        <f t="shared" si="13"/>
        <v/>
      </c>
      <c r="AHD100" s="2" t="str">
        <f t="shared" si="13"/>
        <v/>
      </c>
      <c r="AHE100" s="2" t="str">
        <f t="shared" si="13"/>
        <v/>
      </c>
      <c r="AHF100" s="2" t="str">
        <f t="shared" si="13"/>
        <v/>
      </c>
      <c r="AHG100" s="2" t="str">
        <f t="shared" si="13"/>
        <v/>
      </c>
      <c r="AHH100" s="2" t="str">
        <f t="shared" si="13"/>
        <v/>
      </c>
      <c r="AHI100" s="2" t="str">
        <f t="shared" si="13"/>
        <v/>
      </c>
      <c r="AHJ100" s="2" t="str">
        <f t="shared" si="13"/>
        <v/>
      </c>
      <c r="AHK100" s="2" t="str">
        <f t="shared" si="13"/>
        <v/>
      </c>
      <c r="AHL100" s="2" t="str">
        <f t="shared" si="13"/>
        <v/>
      </c>
      <c r="AHM100" s="2" t="str">
        <f t="shared" si="13"/>
        <v/>
      </c>
      <c r="AHN100" s="2" t="str">
        <f t="shared" ref="AHN100:AJY100" si="14">IF(OR(AHM100="",AHM100&gt;=Upper),"",MIN(Upper,IFERROR(SMALL(Cand,COUNTIF(Cand,"&lt;="&amp;AHM100)+1),Upper)))</f>
        <v/>
      </c>
      <c r="AHO100" s="2" t="str">
        <f t="shared" si="14"/>
        <v/>
      </c>
      <c r="AHP100" s="2" t="str">
        <f t="shared" si="14"/>
        <v/>
      </c>
      <c r="AHQ100" s="2" t="str">
        <f t="shared" si="14"/>
        <v/>
      </c>
      <c r="AHR100" s="2" t="str">
        <f t="shared" si="14"/>
        <v/>
      </c>
      <c r="AHS100" s="2" t="str">
        <f t="shared" si="14"/>
        <v/>
      </c>
      <c r="AHT100" s="2" t="str">
        <f t="shared" si="14"/>
        <v/>
      </c>
      <c r="AHU100" s="2" t="str">
        <f t="shared" si="14"/>
        <v/>
      </c>
      <c r="AHV100" s="2" t="str">
        <f t="shared" si="14"/>
        <v/>
      </c>
      <c r="AHW100" s="2" t="str">
        <f t="shared" si="14"/>
        <v/>
      </c>
      <c r="AHX100" s="2" t="str">
        <f t="shared" si="14"/>
        <v/>
      </c>
      <c r="AHY100" s="2" t="str">
        <f t="shared" si="14"/>
        <v/>
      </c>
      <c r="AHZ100" s="2" t="str">
        <f t="shared" si="14"/>
        <v/>
      </c>
      <c r="AIA100" s="2" t="str">
        <f t="shared" si="14"/>
        <v/>
      </c>
      <c r="AIB100" s="2" t="str">
        <f t="shared" si="14"/>
        <v/>
      </c>
      <c r="AIC100" s="2" t="str">
        <f t="shared" si="14"/>
        <v/>
      </c>
      <c r="AID100" s="2" t="str">
        <f t="shared" si="14"/>
        <v/>
      </c>
      <c r="AIE100" s="2" t="str">
        <f t="shared" si="14"/>
        <v/>
      </c>
      <c r="AIF100" s="2" t="str">
        <f t="shared" si="14"/>
        <v/>
      </c>
      <c r="AIG100" s="2" t="str">
        <f t="shared" si="14"/>
        <v/>
      </c>
      <c r="AIH100" s="2" t="str">
        <f t="shared" si="14"/>
        <v/>
      </c>
      <c r="AII100" s="2" t="str">
        <f t="shared" si="14"/>
        <v/>
      </c>
      <c r="AIJ100" s="2" t="str">
        <f t="shared" si="14"/>
        <v/>
      </c>
      <c r="AIK100" s="2" t="str">
        <f t="shared" si="14"/>
        <v/>
      </c>
      <c r="AIL100" s="2" t="str">
        <f t="shared" si="14"/>
        <v/>
      </c>
      <c r="AIM100" s="2" t="str">
        <f t="shared" si="14"/>
        <v/>
      </c>
      <c r="AIN100" s="2" t="str">
        <f t="shared" si="14"/>
        <v/>
      </c>
      <c r="AIO100" s="2" t="str">
        <f t="shared" si="14"/>
        <v/>
      </c>
      <c r="AIP100" s="2" t="str">
        <f t="shared" si="14"/>
        <v/>
      </c>
      <c r="AIQ100" s="2" t="str">
        <f t="shared" si="14"/>
        <v/>
      </c>
      <c r="AIR100" s="2" t="str">
        <f t="shared" si="14"/>
        <v/>
      </c>
      <c r="AIS100" s="2" t="str">
        <f t="shared" si="14"/>
        <v/>
      </c>
      <c r="AIT100" s="2" t="str">
        <f t="shared" si="14"/>
        <v/>
      </c>
      <c r="AIU100" s="2" t="str">
        <f t="shared" si="14"/>
        <v/>
      </c>
      <c r="AIV100" s="2" t="str">
        <f t="shared" si="14"/>
        <v/>
      </c>
      <c r="AIW100" s="2" t="str">
        <f t="shared" si="14"/>
        <v/>
      </c>
      <c r="AIX100" s="2" t="str">
        <f t="shared" si="14"/>
        <v/>
      </c>
      <c r="AIY100" s="2" t="str">
        <f t="shared" si="14"/>
        <v/>
      </c>
      <c r="AIZ100" s="2" t="str">
        <f t="shared" si="14"/>
        <v/>
      </c>
      <c r="AJA100" s="2" t="str">
        <f t="shared" si="14"/>
        <v/>
      </c>
      <c r="AJB100" s="2" t="str">
        <f t="shared" si="14"/>
        <v/>
      </c>
      <c r="AJC100" s="2" t="str">
        <f t="shared" si="14"/>
        <v/>
      </c>
      <c r="AJD100" s="2" t="str">
        <f t="shared" si="14"/>
        <v/>
      </c>
      <c r="AJE100" s="2" t="str">
        <f t="shared" si="14"/>
        <v/>
      </c>
      <c r="AJF100" s="2" t="str">
        <f t="shared" si="14"/>
        <v/>
      </c>
      <c r="AJG100" s="2" t="str">
        <f t="shared" si="14"/>
        <v/>
      </c>
      <c r="AJH100" s="2" t="str">
        <f t="shared" si="14"/>
        <v/>
      </c>
      <c r="AJI100" s="2" t="str">
        <f t="shared" si="14"/>
        <v/>
      </c>
      <c r="AJJ100" s="2" t="str">
        <f t="shared" si="14"/>
        <v/>
      </c>
      <c r="AJK100" s="2" t="str">
        <f t="shared" si="14"/>
        <v/>
      </c>
      <c r="AJL100" s="2" t="str">
        <f t="shared" si="14"/>
        <v/>
      </c>
      <c r="AJM100" s="2" t="str">
        <f t="shared" si="14"/>
        <v/>
      </c>
      <c r="AJN100" s="2" t="str">
        <f t="shared" si="14"/>
        <v/>
      </c>
      <c r="AJO100" s="2" t="str">
        <f t="shared" si="14"/>
        <v/>
      </c>
      <c r="AJP100" s="2" t="str">
        <f t="shared" si="14"/>
        <v/>
      </c>
      <c r="AJQ100" s="2" t="str">
        <f t="shared" si="14"/>
        <v/>
      </c>
      <c r="AJR100" s="2" t="str">
        <f t="shared" si="14"/>
        <v/>
      </c>
      <c r="AJS100" s="2" t="str">
        <f t="shared" si="14"/>
        <v/>
      </c>
      <c r="AJT100" s="2" t="str">
        <f t="shared" si="14"/>
        <v/>
      </c>
      <c r="AJU100" s="2" t="str">
        <f t="shared" si="14"/>
        <v/>
      </c>
      <c r="AJV100" s="2" t="str">
        <f t="shared" si="14"/>
        <v/>
      </c>
      <c r="AJW100" s="2" t="str">
        <f t="shared" si="14"/>
        <v/>
      </c>
      <c r="AJX100" s="2" t="str">
        <f t="shared" si="14"/>
        <v/>
      </c>
      <c r="AJY100" s="2" t="str">
        <f t="shared" si="14"/>
        <v/>
      </c>
      <c r="AJZ100" s="2" t="str">
        <f t="shared" ref="AJZ100:AMK100" si="15">IF(OR(AJY100="",AJY100&gt;=Upper),"",MIN(Upper,IFERROR(SMALL(Cand,COUNTIF(Cand,"&lt;="&amp;AJY100)+1),Upper)))</f>
        <v/>
      </c>
      <c r="AKA100" s="2" t="str">
        <f t="shared" si="15"/>
        <v/>
      </c>
      <c r="AKB100" s="2" t="str">
        <f t="shared" si="15"/>
        <v/>
      </c>
      <c r="AKC100" s="2" t="str">
        <f t="shared" si="15"/>
        <v/>
      </c>
      <c r="AKD100" s="2" t="str">
        <f t="shared" si="15"/>
        <v/>
      </c>
      <c r="AKE100" s="2" t="str">
        <f t="shared" si="15"/>
        <v/>
      </c>
      <c r="AKF100" s="2" t="str">
        <f t="shared" si="15"/>
        <v/>
      </c>
      <c r="AKG100" s="2" t="str">
        <f t="shared" si="15"/>
        <v/>
      </c>
      <c r="AKH100" s="2" t="str">
        <f t="shared" si="15"/>
        <v/>
      </c>
      <c r="AKI100" s="2" t="str">
        <f t="shared" si="15"/>
        <v/>
      </c>
      <c r="AKJ100" s="2" t="str">
        <f t="shared" si="15"/>
        <v/>
      </c>
      <c r="AKK100" s="2" t="str">
        <f t="shared" si="15"/>
        <v/>
      </c>
      <c r="AKL100" s="2" t="str">
        <f t="shared" si="15"/>
        <v/>
      </c>
      <c r="AKM100" s="2" t="str">
        <f t="shared" si="15"/>
        <v/>
      </c>
      <c r="AKN100" s="2" t="str">
        <f t="shared" si="15"/>
        <v/>
      </c>
      <c r="AKO100" s="2" t="str">
        <f t="shared" si="15"/>
        <v/>
      </c>
      <c r="AKP100" s="2" t="str">
        <f t="shared" si="15"/>
        <v/>
      </c>
      <c r="AKQ100" s="2" t="str">
        <f t="shared" si="15"/>
        <v/>
      </c>
      <c r="AKR100" s="2" t="str">
        <f t="shared" si="15"/>
        <v/>
      </c>
      <c r="AKS100" s="2" t="str">
        <f t="shared" si="15"/>
        <v/>
      </c>
      <c r="AKT100" s="2" t="str">
        <f t="shared" si="15"/>
        <v/>
      </c>
      <c r="AKU100" s="2" t="str">
        <f t="shared" si="15"/>
        <v/>
      </c>
      <c r="AKV100" s="2" t="str">
        <f t="shared" si="15"/>
        <v/>
      </c>
      <c r="AKW100" s="2" t="str">
        <f t="shared" si="15"/>
        <v/>
      </c>
      <c r="AKX100" s="2" t="str">
        <f t="shared" si="15"/>
        <v/>
      </c>
      <c r="AKY100" s="2" t="str">
        <f t="shared" si="15"/>
        <v/>
      </c>
      <c r="AKZ100" s="2" t="str">
        <f t="shared" si="15"/>
        <v/>
      </c>
      <c r="ALA100" s="2" t="str">
        <f t="shared" si="15"/>
        <v/>
      </c>
      <c r="ALB100" s="2" t="str">
        <f t="shared" si="15"/>
        <v/>
      </c>
      <c r="ALC100" s="2" t="str">
        <f t="shared" si="15"/>
        <v/>
      </c>
      <c r="ALD100" s="2" t="str">
        <f t="shared" si="15"/>
        <v/>
      </c>
      <c r="ALE100" s="2" t="str">
        <f t="shared" si="15"/>
        <v/>
      </c>
      <c r="ALF100" s="2" t="str">
        <f t="shared" si="15"/>
        <v/>
      </c>
      <c r="ALG100" s="2" t="str">
        <f t="shared" si="15"/>
        <v/>
      </c>
      <c r="ALH100" s="2" t="str">
        <f t="shared" si="15"/>
        <v/>
      </c>
      <c r="ALI100" s="2" t="str">
        <f t="shared" si="15"/>
        <v/>
      </c>
      <c r="ALJ100" s="2" t="str">
        <f t="shared" si="15"/>
        <v/>
      </c>
      <c r="ALK100" s="2" t="str">
        <f t="shared" si="15"/>
        <v/>
      </c>
      <c r="ALL100" s="2" t="str">
        <f t="shared" si="15"/>
        <v/>
      </c>
      <c r="ALM100" s="2" t="str">
        <f t="shared" si="15"/>
        <v/>
      </c>
      <c r="ALN100" s="2" t="str">
        <f t="shared" si="15"/>
        <v/>
      </c>
      <c r="ALO100" s="2" t="str">
        <f t="shared" si="15"/>
        <v/>
      </c>
      <c r="ALP100" s="2" t="str">
        <f t="shared" si="15"/>
        <v/>
      </c>
      <c r="ALQ100" s="2" t="str">
        <f t="shared" si="15"/>
        <v/>
      </c>
      <c r="ALR100" s="2" t="str">
        <f t="shared" si="15"/>
        <v/>
      </c>
      <c r="ALS100" s="2" t="str">
        <f t="shared" si="15"/>
        <v/>
      </c>
      <c r="ALT100" s="2" t="str">
        <f t="shared" si="15"/>
        <v/>
      </c>
      <c r="ALU100" s="2" t="str">
        <f t="shared" si="15"/>
        <v/>
      </c>
      <c r="ALV100" s="2" t="str">
        <f t="shared" si="15"/>
        <v/>
      </c>
      <c r="ALW100" s="2" t="str">
        <f t="shared" si="15"/>
        <v/>
      </c>
      <c r="ALX100" s="2" t="str">
        <f t="shared" si="15"/>
        <v/>
      </c>
      <c r="ALY100" s="2" t="str">
        <f t="shared" si="15"/>
        <v/>
      </c>
      <c r="ALZ100" s="2" t="str">
        <f t="shared" si="15"/>
        <v/>
      </c>
      <c r="AMA100" s="2" t="str">
        <f t="shared" si="15"/>
        <v/>
      </c>
      <c r="AMB100" s="2" t="str">
        <f t="shared" si="15"/>
        <v/>
      </c>
      <c r="AMC100" s="2" t="str">
        <f t="shared" si="15"/>
        <v/>
      </c>
      <c r="AMD100" s="2" t="str">
        <f t="shared" si="15"/>
        <v/>
      </c>
      <c r="AME100" s="2" t="str">
        <f t="shared" si="15"/>
        <v/>
      </c>
      <c r="AMF100" s="2" t="str">
        <f t="shared" si="15"/>
        <v/>
      </c>
      <c r="AMG100" s="2" t="str">
        <f t="shared" si="15"/>
        <v/>
      </c>
      <c r="AMH100" s="2" t="str">
        <f t="shared" si="15"/>
        <v/>
      </c>
      <c r="AMI100" s="2" t="str">
        <f t="shared" si="15"/>
        <v/>
      </c>
      <c r="AMJ100" s="2" t="str">
        <f t="shared" si="15"/>
        <v/>
      </c>
      <c r="AMK100" s="2" t="str">
        <f t="shared" si="15"/>
        <v/>
      </c>
      <c r="AML100" s="2" t="str">
        <f t="shared" ref="AML100:AOW100" si="16">IF(OR(AMK100="",AMK100&gt;=Upper),"",MIN(Upper,IFERROR(SMALL(Cand,COUNTIF(Cand,"&lt;="&amp;AMK100)+1),Upper)))</f>
        <v/>
      </c>
      <c r="AMM100" s="2" t="str">
        <f t="shared" si="16"/>
        <v/>
      </c>
      <c r="AMN100" s="2" t="str">
        <f t="shared" si="16"/>
        <v/>
      </c>
      <c r="AMO100" s="2" t="str">
        <f t="shared" si="16"/>
        <v/>
      </c>
      <c r="AMP100" s="2" t="str">
        <f t="shared" si="16"/>
        <v/>
      </c>
      <c r="AMQ100" s="2" t="str">
        <f t="shared" si="16"/>
        <v/>
      </c>
      <c r="AMR100" s="2" t="str">
        <f t="shared" si="16"/>
        <v/>
      </c>
      <c r="AMS100" s="2" t="str">
        <f t="shared" si="16"/>
        <v/>
      </c>
      <c r="AMT100" s="2" t="str">
        <f t="shared" si="16"/>
        <v/>
      </c>
      <c r="AMU100" s="2" t="str">
        <f t="shared" si="16"/>
        <v/>
      </c>
      <c r="AMV100" s="2" t="str">
        <f t="shared" si="16"/>
        <v/>
      </c>
      <c r="AMW100" s="2" t="str">
        <f t="shared" si="16"/>
        <v/>
      </c>
      <c r="AMX100" s="2" t="str">
        <f t="shared" si="16"/>
        <v/>
      </c>
      <c r="AMY100" s="2" t="str">
        <f t="shared" si="16"/>
        <v/>
      </c>
      <c r="AMZ100" s="2" t="str">
        <f t="shared" si="16"/>
        <v/>
      </c>
      <c r="ANA100" s="2" t="str">
        <f t="shared" si="16"/>
        <v/>
      </c>
      <c r="ANB100" s="2" t="str">
        <f t="shared" si="16"/>
        <v/>
      </c>
      <c r="ANC100" s="2" t="str">
        <f t="shared" si="16"/>
        <v/>
      </c>
      <c r="AND100" s="2" t="str">
        <f t="shared" si="16"/>
        <v/>
      </c>
      <c r="ANE100" s="2" t="str">
        <f t="shared" si="16"/>
        <v/>
      </c>
      <c r="ANF100" s="2" t="str">
        <f t="shared" si="16"/>
        <v/>
      </c>
      <c r="ANG100" s="2" t="str">
        <f t="shared" si="16"/>
        <v/>
      </c>
      <c r="ANH100" s="2" t="str">
        <f t="shared" si="16"/>
        <v/>
      </c>
      <c r="ANI100" s="2" t="str">
        <f t="shared" si="16"/>
        <v/>
      </c>
      <c r="ANJ100" s="2" t="str">
        <f t="shared" si="16"/>
        <v/>
      </c>
      <c r="ANK100" s="2" t="str">
        <f t="shared" si="16"/>
        <v/>
      </c>
      <c r="ANL100" s="2" t="str">
        <f t="shared" si="16"/>
        <v/>
      </c>
      <c r="ANM100" s="2" t="str">
        <f t="shared" si="16"/>
        <v/>
      </c>
      <c r="ANN100" s="2" t="str">
        <f t="shared" si="16"/>
        <v/>
      </c>
      <c r="ANO100" s="2" t="str">
        <f t="shared" si="16"/>
        <v/>
      </c>
      <c r="ANP100" s="2" t="str">
        <f t="shared" si="16"/>
        <v/>
      </c>
      <c r="ANQ100" s="2" t="str">
        <f t="shared" si="16"/>
        <v/>
      </c>
      <c r="ANR100" s="2" t="str">
        <f t="shared" si="16"/>
        <v/>
      </c>
      <c r="ANS100" s="2" t="str">
        <f t="shared" si="16"/>
        <v/>
      </c>
      <c r="ANT100" s="2" t="str">
        <f t="shared" si="16"/>
        <v/>
      </c>
      <c r="ANU100" s="2" t="str">
        <f t="shared" si="16"/>
        <v/>
      </c>
      <c r="ANV100" s="2" t="str">
        <f t="shared" si="16"/>
        <v/>
      </c>
      <c r="ANW100" s="2" t="str">
        <f t="shared" si="16"/>
        <v/>
      </c>
      <c r="ANX100" s="2" t="str">
        <f t="shared" si="16"/>
        <v/>
      </c>
      <c r="ANY100" s="2" t="str">
        <f t="shared" si="16"/>
        <v/>
      </c>
      <c r="ANZ100" s="2" t="str">
        <f t="shared" si="16"/>
        <v/>
      </c>
      <c r="AOA100" s="2" t="str">
        <f t="shared" si="16"/>
        <v/>
      </c>
      <c r="AOB100" s="2" t="str">
        <f t="shared" si="16"/>
        <v/>
      </c>
      <c r="AOC100" s="2" t="str">
        <f t="shared" si="16"/>
        <v/>
      </c>
      <c r="AOD100" s="2" t="str">
        <f t="shared" si="16"/>
        <v/>
      </c>
      <c r="AOE100" s="2" t="str">
        <f t="shared" si="16"/>
        <v/>
      </c>
      <c r="AOF100" s="2" t="str">
        <f t="shared" si="16"/>
        <v/>
      </c>
      <c r="AOG100" s="2" t="str">
        <f t="shared" si="16"/>
        <v/>
      </c>
      <c r="AOH100" s="2" t="str">
        <f t="shared" si="16"/>
        <v/>
      </c>
      <c r="AOI100" s="2" t="str">
        <f t="shared" si="16"/>
        <v/>
      </c>
      <c r="AOJ100" s="2" t="str">
        <f t="shared" si="16"/>
        <v/>
      </c>
      <c r="AOK100" s="2" t="str">
        <f t="shared" si="16"/>
        <v/>
      </c>
      <c r="AOL100" s="2" t="str">
        <f t="shared" si="16"/>
        <v/>
      </c>
      <c r="AOM100" s="2" t="str">
        <f t="shared" si="16"/>
        <v/>
      </c>
      <c r="AON100" s="2" t="str">
        <f t="shared" si="16"/>
        <v/>
      </c>
      <c r="AOO100" s="2" t="str">
        <f t="shared" si="16"/>
        <v/>
      </c>
      <c r="AOP100" s="2" t="str">
        <f t="shared" si="16"/>
        <v/>
      </c>
      <c r="AOQ100" s="2" t="str">
        <f t="shared" si="16"/>
        <v/>
      </c>
      <c r="AOR100" s="2" t="str">
        <f t="shared" si="16"/>
        <v/>
      </c>
      <c r="AOS100" s="2" t="str">
        <f t="shared" si="16"/>
        <v/>
      </c>
      <c r="AOT100" s="2" t="str">
        <f t="shared" si="16"/>
        <v/>
      </c>
      <c r="AOU100" s="2" t="str">
        <f t="shared" si="16"/>
        <v/>
      </c>
      <c r="AOV100" s="2" t="str">
        <f t="shared" si="16"/>
        <v/>
      </c>
      <c r="AOW100" s="2" t="str">
        <f t="shared" si="16"/>
        <v/>
      </c>
      <c r="AOX100" s="2" t="str">
        <f t="shared" ref="AOX100:ARJ100" si="17">IF(OR(AOW100="",AOW100&gt;=Upper),"",MIN(Upper,IFERROR(SMALL(Cand,COUNTIF(Cand,"&lt;="&amp;AOW100)+1),Upper)))</f>
        <v/>
      </c>
      <c r="AOY100" s="2" t="str">
        <f t="shared" si="17"/>
        <v/>
      </c>
      <c r="AOZ100" s="2" t="str">
        <f t="shared" si="17"/>
        <v/>
      </c>
      <c r="APA100" s="2" t="str">
        <f t="shared" si="17"/>
        <v/>
      </c>
      <c r="APB100" s="2" t="str">
        <f t="shared" si="17"/>
        <v/>
      </c>
      <c r="APC100" s="2" t="str">
        <f t="shared" si="17"/>
        <v/>
      </c>
      <c r="APD100" s="2" t="str">
        <f t="shared" si="17"/>
        <v/>
      </c>
      <c r="APE100" s="2" t="str">
        <f t="shared" si="17"/>
        <v/>
      </c>
      <c r="APF100" s="2" t="str">
        <f t="shared" si="17"/>
        <v/>
      </c>
      <c r="APG100" s="2" t="str">
        <f t="shared" si="17"/>
        <v/>
      </c>
      <c r="APH100" s="2" t="str">
        <f t="shared" si="17"/>
        <v/>
      </c>
      <c r="API100" s="2" t="str">
        <f t="shared" si="17"/>
        <v/>
      </c>
      <c r="APJ100" s="2" t="str">
        <f t="shared" si="17"/>
        <v/>
      </c>
      <c r="APK100" s="2" t="str">
        <f t="shared" si="17"/>
        <v/>
      </c>
      <c r="APL100" s="2" t="str">
        <f t="shared" si="17"/>
        <v/>
      </c>
      <c r="APM100" s="2" t="str">
        <f t="shared" si="17"/>
        <v/>
      </c>
      <c r="APN100" s="2" t="str">
        <f t="shared" si="17"/>
        <v/>
      </c>
      <c r="APO100" s="2" t="str">
        <f t="shared" si="17"/>
        <v/>
      </c>
      <c r="APP100" s="2" t="str">
        <f t="shared" si="17"/>
        <v/>
      </c>
      <c r="APQ100" s="2" t="str">
        <f t="shared" si="17"/>
        <v/>
      </c>
      <c r="APR100" s="2" t="str">
        <f t="shared" si="17"/>
        <v/>
      </c>
      <c r="APS100" s="2" t="str">
        <f t="shared" si="17"/>
        <v/>
      </c>
      <c r="APT100" s="2" t="str">
        <f t="shared" si="17"/>
        <v/>
      </c>
      <c r="APU100" s="2" t="str">
        <f t="shared" si="17"/>
        <v/>
      </c>
      <c r="APV100" s="2" t="str">
        <f t="shared" si="17"/>
        <v/>
      </c>
      <c r="APW100" s="2" t="str">
        <f t="shared" si="17"/>
        <v/>
      </c>
      <c r="APX100" s="2" t="str">
        <f t="shared" si="17"/>
        <v/>
      </c>
      <c r="APY100" s="2" t="str">
        <f t="shared" si="17"/>
        <v/>
      </c>
      <c r="APZ100" s="2" t="str">
        <f t="shared" si="17"/>
        <v/>
      </c>
      <c r="AQA100" s="2" t="str">
        <f t="shared" si="17"/>
        <v/>
      </c>
      <c r="AQB100" s="2" t="str">
        <f t="shared" si="17"/>
        <v/>
      </c>
      <c r="AQC100" s="2" t="str">
        <f t="shared" si="17"/>
        <v/>
      </c>
      <c r="AQD100" s="2" t="str">
        <f t="shared" si="17"/>
        <v/>
      </c>
      <c r="AQE100" s="2" t="str">
        <f t="shared" si="17"/>
        <v/>
      </c>
      <c r="AQF100" s="2" t="str">
        <f t="shared" si="17"/>
        <v/>
      </c>
      <c r="AQG100" s="2" t="str">
        <f t="shared" si="17"/>
        <v/>
      </c>
      <c r="AQH100" s="2" t="str">
        <f t="shared" si="17"/>
        <v/>
      </c>
      <c r="AQI100" s="2" t="str">
        <f t="shared" si="17"/>
        <v/>
      </c>
      <c r="AQJ100" s="2" t="str">
        <f t="shared" si="17"/>
        <v/>
      </c>
      <c r="AQK100" s="2" t="str">
        <f t="shared" si="17"/>
        <v/>
      </c>
      <c r="AQL100" s="2" t="str">
        <f t="shared" si="17"/>
        <v/>
      </c>
      <c r="AQM100" s="2" t="str">
        <f t="shared" si="17"/>
        <v/>
      </c>
      <c r="AQN100" s="2" t="str">
        <f t="shared" si="17"/>
        <v/>
      </c>
      <c r="AQO100" s="2" t="str">
        <f t="shared" si="17"/>
        <v/>
      </c>
      <c r="AQP100" s="2" t="str">
        <f t="shared" si="17"/>
        <v/>
      </c>
      <c r="AQQ100" s="2" t="str">
        <f t="shared" si="17"/>
        <v/>
      </c>
      <c r="AQR100" s="2" t="str">
        <f t="shared" si="17"/>
        <v/>
      </c>
      <c r="AQS100" s="2" t="str">
        <f t="shared" si="17"/>
        <v/>
      </c>
      <c r="AQT100" s="2" t="str">
        <f t="shared" si="17"/>
        <v/>
      </c>
      <c r="AQU100" s="2" t="str">
        <f t="shared" si="17"/>
        <v/>
      </c>
      <c r="AQV100" s="2" t="str">
        <f t="shared" si="17"/>
        <v/>
      </c>
      <c r="AQW100" s="2" t="str">
        <f t="shared" si="17"/>
        <v/>
      </c>
      <c r="AQX100" s="2" t="str">
        <f t="shared" si="17"/>
        <v/>
      </c>
      <c r="AQY100" s="2" t="str">
        <f t="shared" si="17"/>
        <v/>
      </c>
      <c r="AQZ100" s="2" t="str">
        <f t="shared" si="17"/>
        <v/>
      </c>
      <c r="ARA100" s="2" t="str">
        <f t="shared" si="17"/>
        <v/>
      </c>
      <c r="ARB100" s="2" t="str">
        <f t="shared" si="17"/>
        <v/>
      </c>
      <c r="ARC100" s="2" t="str">
        <f t="shared" si="17"/>
        <v/>
      </c>
      <c r="ARD100" s="2" t="str">
        <f t="shared" si="17"/>
        <v/>
      </c>
      <c r="ARE100" s="2" t="str">
        <f t="shared" si="17"/>
        <v/>
      </c>
      <c r="ARF100" s="2" t="str">
        <f t="shared" si="17"/>
        <v/>
      </c>
      <c r="ARG100" s="2" t="str">
        <f t="shared" si="17"/>
        <v/>
      </c>
      <c r="ARH100" s="2" t="str">
        <f t="shared" si="17"/>
        <v/>
      </c>
      <c r="ARI100" s="2" t="str">
        <f t="shared" si="17"/>
        <v/>
      </c>
      <c r="ARJ100" s="2" t="str">
        <f t="shared" si="17"/>
        <v/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7"/>
  <sheetViews>
    <sheetView tabSelected="1" workbookViewId="0">
      <selection activeCell="I13" sqref="I13"/>
    </sheetView>
  </sheetViews>
  <sheetFormatPr defaultRowHeight="15"/>
  <cols>
    <col min="1" max="12" width="10.140625" customWidth="1"/>
    <col min="14" max="14" width="12.5703125" bestFit="1" customWidth="1"/>
  </cols>
  <sheetData>
    <row r="1" spans="1:15" ht="15.75" thickBot="1">
      <c r="A1" s="3" t="s">
        <v>106</v>
      </c>
      <c r="B1" s="4" t="s">
        <v>0</v>
      </c>
      <c r="C1" s="3" t="s">
        <v>107</v>
      </c>
      <c r="D1" s="4" t="s">
        <v>1</v>
      </c>
      <c r="E1" s="3" t="s">
        <v>108</v>
      </c>
      <c r="F1" s="4" t="s">
        <v>2</v>
      </c>
      <c r="G1" s="5" t="s">
        <v>3</v>
      </c>
      <c r="H1" s="6" t="s">
        <v>109</v>
      </c>
      <c r="I1" s="5" t="s">
        <v>4</v>
      </c>
      <c r="J1" s="6" t="s">
        <v>110</v>
      </c>
      <c r="K1" s="5" t="s">
        <v>5</v>
      </c>
      <c r="L1" s="6" t="s">
        <v>111</v>
      </c>
      <c r="N1" s="18" t="s">
        <v>118</v>
      </c>
      <c r="O1" s="19" t="s">
        <v>119</v>
      </c>
    </row>
    <row r="2" spans="1:15" ht="15.75" thickBot="1">
      <c r="A2" s="7" t="str">
        <f>IF(ISNUMBER(BidScale!A2),IF(AND(BidScale!A2&gt;Lower,BidScale!A2&lt;Upper,ROUND(BidScale!A2-0.1,4)&gt;=Lower,ROUND(BidScale!A2-0.1,4)&lt;=Upper),ROUND(BidScale!A2-0.1,4),""),"")</f>
        <v/>
      </c>
      <c r="B2" s="8" t="str">
        <f>IF(ISNUMBER(BidScale!A2),IF(AND(BidScale!A2&gt;Lower,BidScale!A2&lt;Upper,ROUND(BidScale!A2,4)&gt;=Lower,ROUND(BidScale!A2,4)&lt;=Upper),ROUND(BidScale!A2,4),""),"")</f>
        <v/>
      </c>
      <c r="C2" s="7">
        <f>IF(ISNUMBER(BidScale!B2),IF(AND(BidScale!B2&gt;Lower,BidScale!B2&lt;Upper,ROUND(BidScale!B2-0.1,4)&gt;=Lower,ROUND(BidScale!B2-0.1,4)&lt;=Upper),ROUND(BidScale!B2-0.1,4),""),"")</f>
        <v>37.4</v>
      </c>
      <c r="D2" s="8">
        <f>IF(ISNUMBER(BidScale!B2),IF(AND(BidScale!B2&gt;Lower,BidScale!B2&lt;Upper,ROUND(BidScale!B2,4)&gt;=Lower,ROUND(BidScale!B2,4)&lt;=Upper),ROUND(BidScale!B2,4),""),"")</f>
        <v>37.5</v>
      </c>
      <c r="E2" s="7">
        <f>IF(ISNUMBER(BidScale!C2),IF(AND(BidScale!C2&gt;Lower,BidScale!C2&lt;Upper,ROUND(BidScale!C2-0.1,4)&gt;=Lower,ROUND(BidScale!C2-0.1,4)&lt;=Upper),ROUND(BidScale!C2-0.1,4),""),"")</f>
        <v>47.4</v>
      </c>
      <c r="F2" s="8">
        <f>IF(ISNUMBER(BidScale!C2),IF(AND(BidScale!C2&gt;Lower,BidScale!C2&lt;Upper,ROUND(BidScale!C2,4)&gt;=Lower,ROUND(BidScale!C2,4)&lt;=Upper),ROUND(BidScale!C2,4),""),"")</f>
        <v>47.5</v>
      </c>
      <c r="G2" s="9">
        <f>IF(ISNUMBER(BidScale!D2),IF(AND(BidScale!D2&gt;Lower,BidScale!D2&lt;Upper,ROUND(BidScale!D2,4)&gt;=Lower,ROUND(BidScale!D2,4)&lt;=Upper),ROUND(BidScale!D2,4),""),"")</f>
        <v>57.5</v>
      </c>
      <c r="H2" s="10">
        <f>IF(ISNUMBER(BidScale!D2),IF(AND(BidScale!D2&gt;Lower,BidScale!D2&lt;Upper,ROUND(BidScale!D2+0.1,4)&gt;=Lower,ROUND(BidScale!D2+0.1,4)&lt;=Upper),ROUND(BidScale!D2+0.1,4),""),"")</f>
        <v>57.6</v>
      </c>
      <c r="I2" s="9">
        <f>IF(ISNUMBER(BidScale!E2),IF(AND(BidScale!E2&gt;Lower,BidScale!E2&lt;Upper,ROUND(BidScale!E2,4)&gt;=Lower,ROUND(BidScale!E2,4)&lt;=Upper),ROUND(BidScale!E2,4),""),"")</f>
        <v>67.5</v>
      </c>
      <c r="J2" s="10">
        <f>IF(ISNUMBER(BidScale!E2),IF(AND(BidScale!E2&gt;Lower,BidScale!E2&lt;Upper,ROUND(BidScale!E2+0.1,4)&gt;=Lower,ROUND(BidScale!E2+0.1,4)&lt;=Upper),ROUND(BidScale!E2+0.1,4),""),"")</f>
        <v>67.599999999999994</v>
      </c>
      <c r="K2" s="9">
        <f>IF(ISNUMBER(BidScale!F2),IF(AND(BidScale!F2&gt;Lower,BidScale!F2&lt;Upper,ROUND(BidScale!F2,4)&gt;=Lower,ROUND(BidScale!F2,4)&lt;=Upper),ROUND(BidScale!F2,4),""),"")</f>
        <v>77.5</v>
      </c>
      <c r="L2" s="10">
        <f>IF(ISNUMBER(BidScale!F2),IF(AND(BidScale!F2&gt;Lower,BidScale!F2&lt;Upper,ROUND(BidScale!F2+0.1,4)&gt;=Lower,ROUND(BidScale!F2+0.1,4)&lt;=Upper),ROUND(BidScale!F2+0.1,4),""),"")</f>
        <v>77.599999999999994</v>
      </c>
      <c r="N2" s="20">
        <v>-600</v>
      </c>
      <c r="O2" s="21">
        <v>4000</v>
      </c>
    </row>
    <row r="3" spans="1:15">
      <c r="A3" s="7">
        <f>IF(ISNUMBER(BidScale!A3),IF(AND(BidScale!A3&gt;Lower,BidScale!A3&lt;Upper,ROUND(BidScale!A3-0.1,4)&gt;=Lower,ROUND(BidScale!A3-0.1,4)&lt;=Upper),ROUND(BidScale!A3-0.1,4),""),"")</f>
        <v>29.9</v>
      </c>
      <c r="B3" s="8">
        <f>IF(ISNUMBER(BidScale!A3),IF(AND(BidScale!A3&gt;Lower,BidScale!A3&lt;Upper,ROUND(BidScale!A3,4)&gt;=Lower,ROUND(BidScale!A3,4)&lt;=Upper),ROUND(BidScale!A3,4),""),"")</f>
        <v>30</v>
      </c>
      <c r="C3" s="7" t="str">
        <f>IF(ISNUMBER(BidScale!B3),IF(AND(BidScale!B3&gt;Lower,BidScale!B3&lt;Upper,ROUND(BidScale!B3-0.1,4)&gt;=Lower,ROUND(BidScale!B3-0.1,4)&lt;=Upper),ROUND(BidScale!B3-0.1,4),""),"")</f>
        <v/>
      </c>
      <c r="D3" s="8" t="str">
        <f>IF(ISNUMBER(BidScale!B3),IF(AND(BidScale!B3&gt;Lower,BidScale!B3&lt;Upper,ROUND(BidScale!B3,4)&gt;=Lower,ROUND(BidScale!B3,4)&lt;=Upper),ROUND(BidScale!B3,4),""),"")</f>
        <v/>
      </c>
      <c r="E3" s="7">
        <f>IF(ISNUMBER(BidScale!C3),IF(AND(BidScale!C3&gt;Lower,BidScale!C3&lt;Upper,ROUND(BidScale!C3-0.1,4)&gt;=Lower,ROUND(BidScale!C3-0.1,4)&lt;=Upper),ROUND(BidScale!C3-0.1,4),""),"")</f>
        <v>49.9</v>
      </c>
      <c r="F3" s="8">
        <f>IF(ISNUMBER(BidScale!C3),IF(AND(BidScale!C3&gt;Lower,BidScale!C3&lt;Upper,ROUND(BidScale!C3,4)&gt;=Lower,ROUND(BidScale!C3,4)&lt;=Upper),ROUND(BidScale!C3,4),""),"")</f>
        <v>50</v>
      </c>
      <c r="G3" s="9">
        <f>IF(ISNUMBER(BidScale!D3),IF(AND(BidScale!D3&gt;Lower,BidScale!D3&lt;Upper,ROUND(BidScale!D3,4)&gt;=Lower,ROUND(BidScale!D3,4)&lt;=Upper),ROUND(BidScale!D3,4),""),"")</f>
        <v>60</v>
      </c>
      <c r="H3" s="10">
        <f>IF(ISNUMBER(BidScale!D3),IF(AND(BidScale!D3&gt;Lower,BidScale!D3&lt;Upper,ROUND(BidScale!D3+0.1,4)&gt;=Lower,ROUND(BidScale!D3+0.1,4)&lt;=Upper),ROUND(BidScale!D3+0.1,4),""),"")</f>
        <v>60.1</v>
      </c>
      <c r="I3" s="9">
        <f>IF(ISNUMBER(BidScale!E3),IF(AND(BidScale!E3&gt;Lower,BidScale!E3&lt;Upper,ROUND(BidScale!E3,4)&gt;=Lower,ROUND(BidScale!E3,4)&lt;=Upper),ROUND(BidScale!E3,4),""),"")</f>
        <v>70</v>
      </c>
      <c r="J3" s="10">
        <f>IF(ISNUMBER(BidScale!E3),IF(AND(BidScale!E3&gt;Lower,BidScale!E3&lt;Upper,ROUND(BidScale!E3+0.1,4)&gt;=Lower,ROUND(BidScale!E3+0.1,4)&lt;=Upper),ROUND(BidScale!E3+0.1,4),""),"")</f>
        <v>70.099999999999994</v>
      </c>
      <c r="K3" s="9">
        <f>IF(ISNUMBER(BidScale!F3),IF(AND(BidScale!F3&gt;Lower,BidScale!F3&lt;Upper,ROUND(BidScale!F3,4)&gt;=Lower,ROUND(BidScale!F3,4)&lt;=Upper),ROUND(BidScale!F3,4),""),"")</f>
        <v>80</v>
      </c>
      <c r="L3" s="10">
        <f>IF(ISNUMBER(BidScale!F3),IF(AND(BidScale!F3&gt;Lower,BidScale!F3&lt;Upper,ROUND(BidScale!F3+0.1,4)&gt;=Lower,ROUND(BidScale!F3+0.1,4)&lt;=Upper),ROUND(BidScale!F3+0.1,4),""),"")</f>
        <v>80.099999999999994</v>
      </c>
    </row>
    <row r="4" spans="1:15">
      <c r="A4" s="7">
        <f>IF(ISNUMBER(BidScale!A4),IF(AND(BidScale!A4&gt;Lower,BidScale!A4&lt;Upper,ROUND(BidScale!A4-0.1,4)&gt;=Lower,ROUND(BidScale!A4-0.1,4)&lt;=Upper),ROUND(BidScale!A4-0.1,4),""),"")</f>
        <v>27.4</v>
      </c>
      <c r="B4" s="8">
        <f>IF(ISNUMBER(BidScale!A4),IF(AND(BidScale!A4&gt;Lower,BidScale!A4&lt;Upper,ROUND(BidScale!A4,4)&gt;=Lower,ROUND(BidScale!A4,4)&lt;=Upper),ROUND(BidScale!A4,4),""),"")</f>
        <v>27.5</v>
      </c>
      <c r="C4" s="7">
        <f>IF(ISNUMBER(BidScale!B4),IF(AND(BidScale!B4&gt;Lower,BidScale!B4&lt;Upper,ROUND(BidScale!B4-0.1,4)&gt;=Lower,ROUND(BidScale!B4-0.1,4)&lt;=Upper),ROUND(BidScale!B4-0.1,4),""),"")</f>
        <v>37.4</v>
      </c>
      <c r="D4" s="8">
        <f>IF(ISNUMBER(BidScale!B4),IF(AND(BidScale!B4&gt;Lower,BidScale!B4&lt;Upper,ROUND(BidScale!B4,4)&gt;=Lower,ROUND(BidScale!B4,4)&lt;=Upper),ROUND(BidScale!B4,4),""),"")</f>
        <v>37.5</v>
      </c>
      <c r="E4" s="7" t="str">
        <f>IF(ISNUMBER(BidScale!C4),IF(AND(BidScale!C4&gt;Lower,BidScale!C4&lt;Upper,ROUND(BidScale!C4-0.1,4)&gt;=Lower,ROUND(BidScale!C4-0.1,4)&lt;=Upper),ROUND(BidScale!C4-0.1,4),""),"")</f>
        <v/>
      </c>
      <c r="F4" s="8" t="str">
        <f>IF(ISNUMBER(BidScale!C4),IF(AND(BidScale!C4&gt;Lower,BidScale!C4&lt;Upper,ROUND(BidScale!C4,4)&gt;=Lower,ROUND(BidScale!C4,4)&lt;=Upper),ROUND(BidScale!C4,4),""),"")</f>
        <v/>
      </c>
      <c r="G4" s="9">
        <f>IF(ISNUMBER(BidScale!D4),IF(AND(BidScale!D4&gt;Lower,BidScale!D4&lt;Upper,ROUND(BidScale!D4,4)&gt;=Lower,ROUND(BidScale!D4,4)&lt;=Upper),ROUND(BidScale!D4,4),""),"")</f>
        <v>57.5</v>
      </c>
      <c r="H4" s="10">
        <f>IF(ISNUMBER(BidScale!D4),IF(AND(BidScale!D4&gt;Lower,BidScale!D4&lt;Upper,ROUND(BidScale!D4+0.1,4)&gt;=Lower,ROUND(BidScale!D4+0.1,4)&lt;=Upper),ROUND(BidScale!D4+0.1,4),""),"")</f>
        <v>57.6</v>
      </c>
      <c r="I4" s="9">
        <f>IF(ISNUMBER(BidScale!E4),IF(AND(BidScale!E4&gt;Lower,BidScale!E4&lt;Upper,ROUND(BidScale!E4,4)&gt;=Lower,ROUND(BidScale!E4,4)&lt;=Upper),ROUND(BidScale!E4,4),""),"")</f>
        <v>67.5</v>
      </c>
      <c r="J4" s="10">
        <f>IF(ISNUMBER(BidScale!E4),IF(AND(BidScale!E4&gt;Lower,BidScale!E4&lt;Upper,ROUND(BidScale!E4+0.1,4)&gt;=Lower,ROUND(BidScale!E4+0.1,4)&lt;=Upper),ROUND(BidScale!E4+0.1,4),""),"")</f>
        <v>67.599999999999994</v>
      </c>
      <c r="K4" s="9">
        <f>IF(ISNUMBER(BidScale!F4),IF(AND(BidScale!F4&gt;Lower,BidScale!F4&lt;Upper,ROUND(BidScale!F4,4)&gt;=Lower,ROUND(BidScale!F4,4)&lt;=Upper),ROUND(BidScale!F4,4),""),"")</f>
        <v>77.5</v>
      </c>
      <c r="L4" s="10">
        <f>IF(ISNUMBER(BidScale!F4),IF(AND(BidScale!F4&gt;Lower,BidScale!F4&lt;Upper,ROUND(BidScale!F4+0.1,4)&gt;=Lower,ROUND(BidScale!F4+0.1,4)&lt;=Upper),ROUND(BidScale!F4+0.1,4),""),"")</f>
        <v>77.599999999999994</v>
      </c>
    </row>
    <row r="5" spans="1:15">
      <c r="A5" s="7">
        <f>IF(ISNUMBER(BidScale!A5),IF(AND(BidScale!A5&gt;Lower,BidScale!A5&lt;Upper,ROUND(BidScale!A5-0.1,4)&gt;=Lower,ROUND(BidScale!A5-0.1,4)&lt;=Upper),ROUND(BidScale!A5-0.1,4),""),"")</f>
        <v>22.4</v>
      </c>
      <c r="B5" s="8">
        <f>IF(ISNUMBER(BidScale!A5),IF(AND(BidScale!A5&gt;Lower,BidScale!A5&lt;Upper,ROUND(BidScale!A5,4)&gt;=Lower,ROUND(BidScale!A5,4)&lt;=Upper),ROUND(BidScale!A5,4),""),"")</f>
        <v>22.5</v>
      </c>
      <c r="C5" s="7">
        <f>IF(ISNUMBER(BidScale!B5),IF(AND(BidScale!B5&gt;Lower,BidScale!B5&lt;Upper,ROUND(BidScale!B5-0.1,4)&gt;=Lower,ROUND(BidScale!B5-0.1,4)&lt;=Upper),ROUND(BidScale!B5-0.1,4),""),"")</f>
        <v>32.4</v>
      </c>
      <c r="D5" s="8">
        <f>IF(ISNUMBER(BidScale!B5),IF(AND(BidScale!B5&gt;Lower,BidScale!B5&lt;Upper,ROUND(BidScale!B5,4)&gt;=Lower,ROUND(BidScale!B5,4)&lt;=Upper),ROUND(BidScale!B5,4),""),"")</f>
        <v>32.5</v>
      </c>
      <c r="E5" s="7">
        <f>IF(ISNUMBER(BidScale!C5),IF(AND(BidScale!C5&gt;Lower,BidScale!C5&lt;Upper,ROUND(BidScale!C5-0.1,4)&gt;=Lower,ROUND(BidScale!C5-0.1,4)&lt;=Upper),ROUND(BidScale!C5-0.1,4),""),"")</f>
        <v>42.4</v>
      </c>
      <c r="F5" s="8">
        <f>IF(ISNUMBER(BidScale!C5),IF(AND(BidScale!C5&gt;Lower,BidScale!C5&lt;Upper,ROUND(BidScale!C5,4)&gt;=Lower,ROUND(BidScale!C5,4)&lt;=Upper),ROUND(BidScale!C5,4),""),"")</f>
        <v>42.5</v>
      </c>
      <c r="G5" s="9" t="str">
        <f>IF(ISNUMBER(BidScale!D5),IF(AND(BidScale!D5&gt;Lower,BidScale!D5&lt;Upper,ROUND(BidScale!D5,4)&gt;=Lower,ROUND(BidScale!D5,4)&lt;=Upper),ROUND(BidScale!D5,4),""),"")</f>
        <v/>
      </c>
      <c r="H5" s="10" t="str">
        <f>IF(ISNUMBER(BidScale!D5),IF(AND(BidScale!D5&gt;Lower,BidScale!D5&lt;Upper,ROUND(BidScale!D5+0.1,4)&gt;=Lower,ROUND(BidScale!D5+0.1,4)&lt;=Upper),ROUND(BidScale!D5+0.1,4),""),"")</f>
        <v/>
      </c>
      <c r="I5" s="9">
        <f>IF(ISNUMBER(BidScale!E5),IF(AND(BidScale!E5&gt;Lower,BidScale!E5&lt;Upper,ROUND(BidScale!E5,4)&gt;=Lower,ROUND(BidScale!E5,4)&lt;=Upper),ROUND(BidScale!E5,4),""),"")</f>
        <v>62.5</v>
      </c>
      <c r="J5" s="10">
        <f>IF(ISNUMBER(BidScale!E5),IF(AND(BidScale!E5&gt;Lower,BidScale!E5&lt;Upper,ROUND(BidScale!E5+0.1,4)&gt;=Lower,ROUND(BidScale!E5+0.1,4)&lt;=Upper),ROUND(BidScale!E5+0.1,4),""),"")</f>
        <v>62.6</v>
      </c>
      <c r="K5" s="9">
        <f>IF(ISNUMBER(BidScale!F5),IF(AND(BidScale!F5&gt;Lower,BidScale!F5&lt;Upper,ROUND(BidScale!F5,4)&gt;=Lower,ROUND(BidScale!F5,4)&lt;=Upper),ROUND(BidScale!F5,4),""),"")</f>
        <v>72.5</v>
      </c>
      <c r="L5" s="10">
        <f>IF(ISNUMBER(BidScale!F5),IF(AND(BidScale!F5&gt;Lower,BidScale!F5&lt;Upper,ROUND(BidScale!F5+0.1,4)&gt;=Lower,ROUND(BidScale!F5+0.1,4)&lt;=Upper),ROUND(BidScale!F5+0.1,4),""),"")</f>
        <v>72.599999999999994</v>
      </c>
    </row>
    <row r="6" spans="1:15">
      <c r="A6" s="7">
        <f>IF(ISNUMBER(BidScale!A6),IF(AND(BidScale!A6&gt;Lower,BidScale!A6&lt;Upper,ROUND(BidScale!A6-0.1,4)&gt;=Lower,ROUND(BidScale!A6-0.1,4)&lt;=Upper),ROUND(BidScale!A6-0.1,4),""),"")</f>
        <v>24.9</v>
      </c>
      <c r="B6" s="8">
        <f>IF(ISNUMBER(BidScale!A6),IF(AND(BidScale!A6&gt;Lower,BidScale!A6&lt;Upper,ROUND(BidScale!A6,4)&gt;=Lower,ROUND(BidScale!A6,4)&lt;=Upper),ROUND(BidScale!A6,4),""),"")</f>
        <v>25</v>
      </c>
      <c r="C6" s="7">
        <f>IF(ISNUMBER(BidScale!B6),IF(AND(BidScale!B6&gt;Lower,BidScale!B6&lt;Upper,ROUND(BidScale!B6-0.1,4)&gt;=Lower,ROUND(BidScale!B6-0.1,4)&lt;=Upper),ROUND(BidScale!B6-0.1,4),""),"")</f>
        <v>34.9</v>
      </c>
      <c r="D6" s="8">
        <f>IF(ISNUMBER(BidScale!B6),IF(AND(BidScale!B6&gt;Lower,BidScale!B6&lt;Upper,ROUND(BidScale!B6,4)&gt;=Lower,ROUND(BidScale!B6,4)&lt;=Upper),ROUND(BidScale!B6,4),""),"")</f>
        <v>35</v>
      </c>
      <c r="E6" s="7">
        <f>IF(ISNUMBER(BidScale!C6),IF(AND(BidScale!C6&gt;Lower,BidScale!C6&lt;Upper,ROUND(BidScale!C6-0.1,4)&gt;=Lower,ROUND(BidScale!C6-0.1,4)&lt;=Upper),ROUND(BidScale!C6-0.1,4),""),"")</f>
        <v>44.9</v>
      </c>
      <c r="F6" s="8">
        <f>IF(ISNUMBER(BidScale!C6),IF(AND(BidScale!C6&gt;Lower,BidScale!C6&lt;Upper,ROUND(BidScale!C6,4)&gt;=Lower,ROUND(BidScale!C6,4)&lt;=Upper),ROUND(BidScale!C6,4),""),"")</f>
        <v>45</v>
      </c>
      <c r="G6" s="9">
        <f>IF(ISNUMBER(BidScale!D6),IF(AND(BidScale!D6&gt;Lower,BidScale!D6&lt;Upper,ROUND(BidScale!D6,4)&gt;=Lower,ROUND(BidScale!D6,4)&lt;=Upper),ROUND(BidScale!D6,4),""),"")</f>
        <v>55</v>
      </c>
      <c r="H6" s="10">
        <f>IF(ISNUMBER(BidScale!D6),IF(AND(BidScale!D6&gt;Lower,BidScale!D6&lt;Upper,ROUND(BidScale!D6+0.1,4)&gt;=Lower,ROUND(BidScale!D6+0.1,4)&lt;=Upper),ROUND(BidScale!D6+0.1,4),""),"")</f>
        <v>55.1</v>
      </c>
      <c r="I6" s="9" t="str">
        <f>IF(ISNUMBER(BidScale!E6),IF(AND(BidScale!E6&gt;Lower,BidScale!E6&lt;Upper,ROUND(BidScale!E6,4)&gt;=Lower,ROUND(BidScale!E6,4)&lt;=Upper),ROUND(BidScale!E6,4),""),"")</f>
        <v/>
      </c>
      <c r="J6" s="10" t="str">
        <f>IF(ISNUMBER(BidScale!E6),IF(AND(BidScale!E6&gt;Lower,BidScale!E6&lt;Upper,ROUND(BidScale!E6+0.1,4)&gt;=Lower,ROUND(BidScale!E6+0.1,4)&lt;=Upper),ROUND(BidScale!E6+0.1,4),""),"")</f>
        <v/>
      </c>
      <c r="K6" s="9">
        <f>IF(ISNUMBER(BidScale!F6),IF(AND(BidScale!F6&gt;Lower,BidScale!F6&lt;Upper,ROUND(BidScale!F6,4)&gt;=Lower,ROUND(BidScale!F6,4)&lt;=Upper),ROUND(BidScale!F6,4),""),"")</f>
        <v>75</v>
      </c>
      <c r="L6" s="10">
        <f>IF(ISNUMBER(BidScale!F6),IF(AND(BidScale!F6&gt;Lower,BidScale!F6&lt;Upper,ROUND(BidScale!F6+0.1,4)&gt;=Lower,ROUND(BidScale!F6+0.1,4)&lt;=Upper),ROUND(BidScale!F6+0.1,4),""),"")</f>
        <v>75.099999999999994</v>
      </c>
    </row>
    <row r="7" spans="1:15">
      <c r="A7" s="7">
        <f>IF(ISNUMBER(BidScale!A7),IF(AND(BidScale!A7&gt;Lower,BidScale!A7&lt;Upper,ROUND(BidScale!A7-0.1,4)&gt;=Lower,ROUND(BidScale!A7-0.1,4)&lt;=Upper),ROUND(BidScale!A7-0.1,4),""),"")</f>
        <v>24.9</v>
      </c>
      <c r="B7" s="8">
        <f>IF(ISNUMBER(BidScale!A7),IF(AND(BidScale!A7&gt;Lower,BidScale!A7&lt;Upper,ROUND(BidScale!A7,4)&gt;=Lower,ROUND(BidScale!A7,4)&lt;=Upper),ROUND(BidScale!A7,4),""),"")</f>
        <v>25</v>
      </c>
      <c r="C7" s="7">
        <f>IF(ISNUMBER(BidScale!B7),IF(AND(BidScale!B7&gt;Lower,BidScale!B7&lt;Upper,ROUND(BidScale!B7-0.1,4)&gt;=Lower,ROUND(BidScale!B7-0.1,4)&lt;=Upper),ROUND(BidScale!B7-0.1,4),""),"")</f>
        <v>34.9</v>
      </c>
      <c r="D7" s="8">
        <f>IF(ISNUMBER(BidScale!B7),IF(AND(BidScale!B7&gt;Lower,BidScale!B7&lt;Upper,ROUND(BidScale!B7,4)&gt;=Lower,ROUND(BidScale!B7,4)&lt;=Upper),ROUND(BidScale!B7,4),""),"")</f>
        <v>35</v>
      </c>
      <c r="E7" s="7">
        <f>IF(ISNUMBER(BidScale!C7),IF(AND(BidScale!C7&gt;Lower,BidScale!C7&lt;Upper,ROUND(BidScale!C7-0.1,4)&gt;=Lower,ROUND(BidScale!C7-0.1,4)&lt;=Upper),ROUND(BidScale!C7-0.1,4),""),"")</f>
        <v>44.9</v>
      </c>
      <c r="F7" s="8">
        <f>IF(ISNUMBER(BidScale!C7),IF(AND(BidScale!C7&gt;Lower,BidScale!C7&lt;Upper,ROUND(BidScale!C7,4)&gt;=Lower,ROUND(BidScale!C7,4)&lt;=Upper),ROUND(BidScale!C7,4),""),"")</f>
        <v>45</v>
      </c>
      <c r="G7" s="9">
        <f>IF(ISNUMBER(BidScale!D7),IF(AND(BidScale!D7&gt;Lower,BidScale!D7&lt;Upper,ROUND(BidScale!D7,4)&gt;=Lower,ROUND(BidScale!D7,4)&lt;=Upper),ROUND(BidScale!D7,4),""),"")</f>
        <v>55</v>
      </c>
      <c r="H7" s="10">
        <f>IF(ISNUMBER(BidScale!D7),IF(AND(BidScale!D7&gt;Lower,BidScale!D7&lt;Upper,ROUND(BidScale!D7+0.1,4)&gt;=Lower,ROUND(BidScale!D7+0.1,4)&lt;=Upper),ROUND(BidScale!D7+0.1,4),""),"")</f>
        <v>55.1</v>
      </c>
      <c r="I7" s="9">
        <f>IF(ISNUMBER(BidScale!E7),IF(AND(BidScale!E7&gt;Lower,BidScale!E7&lt;Upper,ROUND(BidScale!E7,4)&gt;=Lower,ROUND(BidScale!E7,4)&lt;=Upper),ROUND(BidScale!E7,4),""),"")</f>
        <v>65</v>
      </c>
      <c r="J7" s="10">
        <f>IF(ISNUMBER(BidScale!E7),IF(AND(BidScale!E7&gt;Lower,BidScale!E7&lt;Upper,ROUND(BidScale!E7+0.1,4)&gt;=Lower,ROUND(BidScale!E7+0.1,4)&lt;=Upper),ROUND(BidScale!E7+0.1,4),""),"")</f>
        <v>65.099999999999994</v>
      </c>
      <c r="K7" s="9" t="str">
        <f>IF(ISNUMBER(BidScale!F7),IF(AND(BidScale!F7&gt;Lower,BidScale!F7&lt;Upper,ROUND(BidScale!F7,4)&gt;=Lower,ROUND(BidScale!F7,4)&lt;=Upper),ROUND(BidScale!F7,4),""),"")</f>
        <v/>
      </c>
      <c r="L7" s="10" t="str">
        <f>IF(ISNUMBER(BidScale!F7),IF(AND(BidScale!F7&gt;Lower,BidScale!F7&lt;Upper,ROUND(BidScale!F7+0.1,4)&gt;=Lower,ROUND(BidScale!F7+0.1,4)&lt;=Upper),ROUND(BidScale!F7+0.1,4),""),"")</f>
        <v/>
      </c>
    </row>
    <row r="8" spans="1:15">
      <c r="A8" s="7" t="str">
        <f>IF(ISNUMBER(BidScale!A8),IF(AND(BidScale!A8&gt;Lower,BidScale!A8&lt;Upper,ROUND(BidScale!A8-0.1,4)&gt;=Lower,ROUND(BidScale!A8-0.1,4)&lt;=Upper),ROUND(BidScale!A8-0.1,4),""),"")</f>
        <v/>
      </c>
      <c r="B8" s="8" t="str">
        <f>IF(ISNUMBER(BidScale!A8),IF(AND(BidScale!A8&gt;Lower,BidScale!A8&lt;Upper,ROUND(BidScale!A8,4)&gt;=Lower,ROUND(BidScale!A8,4)&lt;=Upper),ROUND(BidScale!A8,4),""),"")</f>
        <v/>
      </c>
      <c r="C8" s="7">
        <f>IF(ISNUMBER(BidScale!B8),IF(AND(BidScale!B8&gt;Lower,BidScale!B8&lt;Upper,ROUND(BidScale!B8-0.1,4)&gt;=Lower,ROUND(BidScale!B8-0.1,4)&lt;=Upper),ROUND(BidScale!B8-0.1,4),""),"")</f>
        <v>32.4</v>
      </c>
      <c r="D8" s="8">
        <f>IF(ISNUMBER(BidScale!B8),IF(AND(BidScale!B8&gt;Lower,BidScale!B8&lt;Upper,ROUND(BidScale!B8,4)&gt;=Lower,ROUND(BidScale!B8,4)&lt;=Upper),ROUND(BidScale!B8,4),""),"")</f>
        <v>32.5</v>
      </c>
      <c r="E8" s="7">
        <f>IF(ISNUMBER(BidScale!C8),IF(AND(BidScale!C8&gt;Lower,BidScale!C8&lt;Upper,ROUND(BidScale!C8-0.1,4)&gt;=Lower,ROUND(BidScale!C8-0.1,4)&lt;=Upper),ROUND(BidScale!C8-0.1,4),""),"")</f>
        <v>42.4</v>
      </c>
      <c r="F8" s="8">
        <f>IF(ISNUMBER(BidScale!C8),IF(AND(BidScale!C8&gt;Lower,BidScale!C8&lt;Upper,ROUND(BidScale!C8,4)&gt;=Lower,ROUND(BidScale!C8,4)&lt;=Upper),ROUND(BidScale!C8,4),""),"")</f>
        <v>42.5</v>
      </c>
      <c r="G8" s="9">
        <f>IF(ISNUMBER(BidScale!D8),IF(AND(BidScale!D8&gt;Lower,BidScale!D8&lt;Upper,ROUND(BidScale!D8,4)&gt;=Lower,ROUND(BidScale!D8,4)&lt;=Upper),ROUND(BidScale!D8,4),""),"")</f>
        <v>52.5</v>
      </c>
      <c r="H8" s="10">
        <f>IF(ISNUMBER(BidScale!D8),IF(AND(BidScale!D8&gt;Lower,BidScale!D8&lt;Upper,ROUND(BidScale!D8+0.1,4)&gt;=Lower,ROUND(BidScale!D8+0.1,4)&lt;=Upper),ROUND(BidScale!D8+0.1,4),""),"")</f>
        <v>52.6</v>
      </c>
      <c r="I8" s="9">
        <f>IF(ISNUMBER(BidScale!E8),IF(AND(BidScale!E8&gt;Lower,BidScale!E8&lt;Upper,ROUND(BidScale!E8,4)&gt;=Lower,ROUND(BidScale!E8,4)&lt;=Upper),ROUND(BidScale!E8,4),""),"")</f>
        <v>62.5</v>
      </c>
      <c r="J8" s="10">
        <f>IF(ISNUMBER(BidScale!E8),IF(AND(BidScale!E8&gt;Lower,BidScale!E8&lt;Upper,ROUND(BidScale!E8+0.1,4)&gt;=Lower,ROUND(BidScale!E8+0.1,4)&lt;=Upper),ROUND(BidScale!E8+0.1,4),""),"")</f>
        <v>62.6</v>
      </c>
      <c r="K8" s="9">
        <f>IF(ISNUMBER(BidScale!F8),IF(AND(BidScale!F8&gt;Lower,BidScale!F8&lt;Upper,ROUND(BidScale!F8,4)&gt;=Lower,ROUND(BidScale!F8,4)&lt;=Upper),ROUND(BidScale!F8,4),""),"")</f>
        <v>72.5</v>
      </c>
      <c r="L8" s="10">
        <f>IF(ISNUMBER(BidScale!F8),IF(AND(BidScale!F8&gt;Lower,BidScale!F8&lt;Upper,ROUND(BidScale!F8+0.1,4)&gt;=Lower,ROUND(BidScale!F8+0.1,4)&lt;=Upper),ROUND(BidScale!F8+0.1,4),""),"")</f>
        <v>72.599999999999994</v>
      </c>
    </row>
    <row r="9" spans="1:15">
      <c r="A9" s="7">
        <f>IF(ISNUMBER(BidScale!A9),IF(AND(BidScale!A9&gt;Lower,BidScale!A9&lt;Upper,ROUND(BidScale!A9-0.1,4)&gt;=Lower,ROUND(BidScale!A9-0.1,4)&lt;=Upper),ROUND(BidScale!A9-0.1,4),""),"")</f>
        <v>17.399999999999999</v>
      </c>
      <c r="B9" s="8">
        <f>IF(ISNUMBER(BidScale!A9),IF(AND(BidScale!A9&gt;Lower,BidScale!A9&lt;Upper,ROUND(BidScale!A9,4)&gt;=Lower,ROUND(BidScale!A9,4)&lt;=Upper),ROUND(BidScale!A9,4),""),"")</f>
        <v>17.5</v>
      </c>
      <c r="C9" s="7">
        <f>IF(ISNUMBER(BidScale!B9),IF(AND(BidScale!B9&gt;Lower,BidScale!B9&lt;Upper,ROUND(BidScale!B9-0.1,4)&gt;=Lower,ROUND(BidScale!B9-0.1,4)&lt;=Upper),ROUND(BidScale!B9-0.1,4),""),"")</f>
        <v>27.4</v>
      </c>
      <c r="D9" s="8">
        <f>IF(ISNUMBER(BidScale!B9),IF(AND(BidScale!B9&gt;Lower,BidScale!B9&lt;Upper,ROUND(BidScale!B9,4)&gt;=Lower,ROUND(BidScale!B9,4)&lt;=Upper),ROUND(BidScale!B9,4),""),"")</f>
        <v>27.5</v>
      </c>
      <c r="E9" s="7">
        <f>IF(ISNUMBER(BidScale!C9),IF(AND(BidScale!C9&gt;Lower,BidScale!C9&lt;Upper,ROUND(BidScale!C9-0.1,4)&gt;=Lower,ROUND(BidScale!C9-0.1,4)&lt;=Upper),ROUND(BidScale!C9-0.1,4),""),"")</f>
        <v>37.4</v>
      </c>
      <c r="F9" s="8">
        <f>IF(ISNUMBER(BidScale!C9),IF(AND(BidScale!C9&gt;Lower,BidScale!C9&lt;Upper,ROUND(BidScale!C9,4)&gt;=Lower,ROUND(BidScale!C9,4)&lt;=Upper),ROUND(BidScale!C9,4),""),"")</f>
        <v>37.5</v>
      </c>
      <c r="G9" s="9" t="str">
        <f>IF(ISNUMBER(BidScale!D9),IF(AND(BidScale!D9&gt;Lower,BidScale!D9&lt;Upper,ROUND(BidScale!D9,4)&gt;=Lower,ROUND(BidScale!D9,4)&lt;=Upper),ROUND(BidScale!D9,4),""),"")</f>
        <v/>
      </c>
      <c r="H9" s="10" t="str">
        <f>IF(ISNUMBER(BidScale!D9),IF(AND(BidScale!D9&gt;Lower,BidScale!D9&lt;Upper,ROUND(BidScale!D9+0.1,4)&gt;=Lower,ROUND(BidScale!D9+0.1,4)&lt;=Upper),ROUND(BidScale!D9+0.1,4),""),"")</f>
        <v/>
      </c>
      <c r="I9" s="9">
        <f>IF(ISNUMBER(BidScale!E9),IF(AND(BidScale!E9&gt;Lower,BidScale!E9&lt;Upper,ROUND(BidScale!E9,4)&gt;=Lower,ROUND(BidScale!E9,4)&lt;=Upper),ROUND(BidScale!E9,4),""),"")</f>
        <v>57.5</v>
      </c>
      <c r="J9" s="10">
        <f>IF(ISNUMBER(BidScale!E9),IF(AND(BidScale!E9&gt;Lower,BidScale!E9&lt;Upper,ROUND(BidScale!E9+0.1,4)&gt;=Lower,ROUND(BidScale!E9+0.1,4)&lt;=Upper),ROUND(BidScale!E9+0.1,4),""),"")</f>
        <v>57.6</v>
      </c>
      <c r="K9" s="9">
        <f>IF(ISNUMBER(BidScale!F9),IF(AND(BidScale!F9&gt;Lower,BidScale!F9&lt;Upper,ROUND(BidScale!F9,4)&gt;=Lower,ROUND(BidScale!F9,4)&lt;=Upper),ROUND(BidScale!F9,4),""),"")</f>
        <v>67.5</v>
      </c>
      <c r="L9" s="10">
        <f>IF(ISNUMBER(BidScale!F9),IF(AND(BidScale!F9&gt;Lower,BidScale!F9&lt;Upper,ROUND(BidScale!F9+0.1,4)&gt;=Lower,ROUND(BidScale!F9+0.1,4)&lt;=Upper),ROUND(BidScale!F9+0.1,4),""),"")</f>
        <v>67.599999999999994</v>
      </c>
    </row>
    <row r="10" spans="1:15">
      <c r="A10" s="7">
        <f>IF(ISNUMBER(BidScale!A10),IF(AND(BidScale!A10&gt;Lower,BidScale!A10&lt;Upper,ROUND(BidScale!A10-0.1,4)&gt;=Lower,ROUND(BidScale!A10-0.1,4)&lt;=Upper),ROUND(BidScale!A10-0.1,4),""),"")</f>
        <v>19.899999999999999</v>
      </c>
      <c r="B10" s="8">
        <f>IF(ISNUMBER(BidScale!A10),IF(AND(BidScale!A10&gt;Lower,BidScale!A10&lt;Upper,ROUND(BidScale!A10,4)&gt;=Lower,ROUND(BidScale!A10,4)&lt;=Upper),ROUND(BidScale!A10,4),""),"")</f>
        <v>20</v>
      </c>
      <c r="C10" s="7">
        <f>IF(ISNUMBER(BidScale!B10),IF(AND(BidScale!B10&gt;Lower,BidScale!B10&lt;Upper,ROUND(BidScale!B10-0.1,4)&gt;=Lower,ROUND(BidScale!B10-0.1,4)&lt;=Upper),ROUND(BidScale!B10-0.1,4),""),"")</f>
        <v>29.9</v>
      </c>
      <c r="D10" s="8">
        <f>IF(ISNUMBER(BidScale!B10),IF(AND(BidScale!B10&gt;Lower,BidScale!B10&lt;Upper,ROUND(BidScale!B10,4)&gt;=Lower,ROUND(BidScale!B10,4)&lt;=Upper),ROUND(BidScale!B10,4),""),"")</f>
        <v>30</v>
      </c>
      <c r="E10" s="7" t="str">
        <f>IF(ISNUMBER(BidScale!C10),IF(AND(BidScale!C10&gt;Lower,BidScale!C10&lt;Upper,ROUND(BidScale!C10-0.1,4)&gt;=Lower,ROUND(BidScale!C10-0.1,4)&lt;=Upper),ROUND(BidScale!C10-0.1,4),""),"")</f>
        <v/>
      </c>
      <c r="F10" s="8" t="str">
        <f>IF(ISNUMBER(BidScale!C10),IF(AND(BidScale!C10&gt;Lower,BidScale!C10&lt;Upper,ROUND(BidScale!C10,4)&gt;=Lower,ROUND(BidScale!C10,4)&lt;=Upper),ROUND(BidScale!C10,4),""),"")</f>
        <v/>
      </c>
      <c r="G10" s="9">
        <f>IF(ISNUMBER(BidScale!D10),IF(AND(BidScale!D10&gt;Lower,BidScale!D10&lt;Upper,ROUND(BidScale!D10,4)&gt;=Lower,ROUND(BidScale!D10,4)&lt;=Upper),ROUND(BidScale!D10,4),""),"")</f>
        <v>50</v>
      </c>
      <c r="H10" s="10">
        <f>IF(ISNUMBER(BidScale!D10),IF(AND(BidScale!D10&gt;Lower,BidScale!D10&lt;Upper,ROUND(BidScale!D10+0.1,4)&gt;=Lower,ROUND(BidScale!D10+0.1,4)&lt;=Upper),ROUND(BidScale!D10+0.1,4),""),"")</f>
        <v>50.1</v>
      </c>
      <c r="I10" s="9">
        <f>IF(ISNUMBER(BidScale!E10),IF(AND(BidScale!E10&gt;Lower,BidScale!E10&lt;Upper,ROUND(BidScale!E10,4)&gt;=Lower,ROUND(BidScale!E10,4)&lt;=Upper),ROUND(BidScale!E10,4),""),"")</f>
        <v>60</v>
      </c>
      <c r="J10" s="10">
        <f>IF(ISNUMBER(BidScale!E10),IF(AND(BidScale!E10&gt;Lower,BidScale!E10&lt;Upper,ROUND(BidScale!E10+0.1,4)&gt;=Lower,ROUND(BidScale!E10+0.1,4)&lt;=Upper),ROUND(BidScale!E10+0.1,4),""),"")</f>
        <v>60.1</v>
      </c>
      <c r="K10" s="9">
        <f>IF(ISNUMBER(BidScale!F10),IF(AND(BidScale!F10&gt;Lower,BidScale!F10&lt;Upper,ROUND(BidScale!F10,4)&gt;=Lower,ROUND(BidScale!F10,4)&lt;=Upper),ROUND(BidScale!F10,4),""),"")</f>
        <v>70</v>
      </c>
      <c r="L10" s="10">
        <f>IF(ISNUMBER(BidScale!F10),IF(AND(BidScale!F10&gt;Lower,BidScale!F10&lt;Upper,ROUND(BidScale!F10+0.1,4)&gt;=Lower,ROUND(BidScale!F10+0.1,4)&lt;=Upper),ROUND(BidScale!F10+0.1,4),""),"")</f>
        <v>70.099999999999994</v>
      </c>
    </row>
    <row r="11" spans="1:15">
      <c r="A11" s="7">
        <f>IF(ISNUMBER(BidScale!A11),IF(AND(BidScale!A11&gt;Lower,BidScale!A11&lt;Upper,ROUND(BidScale!A11-0.1,4)&gt;=Lower,ROUND(BidScale!A11-0.1,4)&lt;=Upper),ROUND(BidScale!A11-0.1,4),""),"")</f>
        <v>22.4</v>
      </c>
      <c r="B11" s="8">
        <f>IF(ISNUMBER(BidScale!A11),IF(AND(BidScale!A11&gt;Lower,BidScale!A11&lt;Upper,ROUND(BidScale!A11,4)&gt;=Lower,ROUND(BidScale!A11,4)&lt;=Upper),ROUND(BidScale!A11,4),""),"")</f>
        <v>22.5</v>
      </c>
      <c r="C11" s="7">
        <f>IF(ISNUMBER(BidScale!B11),IF(AND(BidScale!B11&gt;Lower,BidScale!B11&lt;Upper,ROUND(BidScale!B11-0.1,4)&gt;=Lower,ROUND(BidScale!B11-0.1,4)&lt;=Upper),ROUND(BidScale!B11-0.1,4),""),"")</f>
        <v>32.4</v>
      </c>
      <c r="D11" s="8">
        <f>IF(ISNUMBER(BidScale!B11),IF(AND(BidScale!B11&gt;Lower,BidScale!B11&lt;Upper,ROUND(BidScale!B11,4)&gt;=Lower,ROUND(BidScale!B11,4)&lt;=Upper),ROUND(BidScale!B11,4),""),"")</f>
        <v>32.5</v>
      </c>
      <c r="E11" s="7">
        <f>IF(ISNUMBER(BidScale!C11),IF(AND(BidScale!C11&gt;Lower,BidScale!C11&lt;Upper,ROUND(BidScale!C11-0.1,4)&gt;=Lower,ROUND(BidScale!C11-0.1,4)&lt;=Upper),ROUND(BidScale!C11-0.1,4),""),"")</f>
        <v>42.4</v>
      </c>
      <c r="F11" s="8">
        <f>IF(ISNUMBER(BidScale!C11),IF(AND(BidScale!C11&gt;Lower,BidScale!C11&lt;Upper,ROUND(BidScale!C11,4)&gt;=Lower,ROUND(BidScale!C11,4)&lt;=Upper),ROUND(BidScale!C11,4),""),"")</f>
        <v>42.5</v>
      </c>
      <c r="G11" s="9">
        <f>IF(ISNUMBER(BidScale!D11),IF(AND(BidScale!D11&gt;Lower,BidScale!D11&lt;Upper,ROUND(BidScale!D11,4)&gt;=Lower,ROUND(BidScale!D11,4)&lt;=Upper),ROUND(BidScale!D11,4),""),"")</f>
        <v>52.5</v>
      </c>
      <c r="H11" s="10">
        <f>IF(ISNUMBER(BidScale!D11),IF(AND(BidScale!D11&gt;Lower,BidScale!D11&lt;Upper,ROUND(BidScale!D11+0.1,4)&gt;=Lower,ROUND(BidScale!D11+0.1,4)&lt;=Upper),ROUND(BidScale!D11+0.1,4),""),"")</f>
        <v>52.6</v>
      </c>
      <c r="I11" s="9">
        <f>IF(ISNUMBER(BidScale!E11),IF(AND(BidScale!E11&gt;Lower,BidScale!E11&lt;Upper,ROUND(BidScale!E11,4)&gt;=Lower,ROUND(BidScale!E11,4)&lt;=Upper),ROUND(BidScale!E11,4),""),"")</f>
        <v>62.5</v>
      </c>
      <c r="J11" s="10">
        <f>IF(ISNUMBER(BidScale!E11),IF(AND(BidScale!E11&gt;Lower,BidScale!E11&lt;Upper,ROUND(BidScale!E11+0.1,4)&gt;=Lower,ROUND(BidScale!E11+0.1,4)&lt;=Upper),ROUND(BidScale!E11+0.1,4),""),"")</f>
        <v>62.6</v>
      </c>
      <c r="K11" s="9" t="str">
        <f>IF(ISNUMBER(BidScale!F11),IF(AND(BidScale!F11&gt;Lower,BidScale!F11&lt;Upper,ROUND(BidScale!F11,4)&gt;=Lower,ROUND(BidScale!F11,4)&lt;=Upper),ROUND(BidScale!F11,4),""),"")</f>
        <v/>
      </c>
      <c r="L11" s="10" t="str">
        <f>IF(ISNUMBER(BidScale!F11),IF(AND(BidScale!F11&gt;Lower,BidScale!F11&lt;Upper,ROUND(BidScale!F11+0.1,4)&gt;=Lower,ROUND(BidScale!F11+0.1,4)&lt;=Upper),ROUND(BidScale!F11+0.1,4),""),"")</f>
        <v/>
      </c>
    </row>
    <row r="12" spans="1:15">
      <c r="A12" s="7">
        <f>IF(ISNUMBER(BidScale!A12),IF(AND(BidScale!A12&gt;Lower,BidScale!A12&lt;Upper,ROUND(BidScale!A12-0.1,4)&gt;=Lower,ROUND(BidScale!A12-0.1,4)&lt;=Upper),ROUND(BidScale!A12-0.1,4),""),"")</f>
        <v>17.399999999999999</v>
      </c>
      <c r="B12" s="8">
        <f>IF(ISNUMBER(BidScale!A12),IF(AND(BidScale!A12&gt;Lower,BidScale!A12&lt;Upper,ROUND(BidScale!A12,4)&gt;=Lower,ROUND(BidScale!A12,4)&lt;=Upper),ROUND(BidScale!A12,4),""),"")</f>
        <v>17.5</v>
      </c>
      <c r="C12" s="7">
        <f>IF(ISNUMBER(BidScale!B12),IF(AND(BidScale!B12&gt;Lower,BidScale!B12&lt;Upper,ROUND(BidScale!B12-0.1,4)&gt;=Lower,ROUND(BidScale!B12-0.1,4)&lt;=Upper),ROUND(BidScale!B12-0.1,4),""),"")</f>
        <v>49.9</v>
      </c>
      <c r="D12" s="8">
        <f>IF(ISNUMBER(BidScale!B12),IF(AND(BidScale!B12&gt;Lower,BidScale!B12&lt;Upper,ROUND(BidScale!B12,4)&gt;=Lower,ROUND(BidScale!B12,4)&lt;=Upper),ROUND(BidScale!B12,4),""),"")</f>
        <v>50</v>
      </c>
      <c r="E12" s="7">
        <f>IF(ISNUMBER(BidScale!C12),IF(AND(BidScale!C12&gt;Lower,BidScale!C12&lt;Upper,ROUND(BidScale!C12-0.1,4)&gt;=Lower,ROUND(BidScale!C12-0.1,4)&lt;=Upper),ROUND(BidScale!C12-0.1,4),""),"")</f>
        <v>37.4</v>
      </c>
      <c r="F12" s="8">
        <f>IF(ISNUMBER(BidScale!C12),IF(AND(BidScale!C12&gt;Lower,BidScale!C12&lt;Upper,ROUND(BidScale!C12,4)&gt;=Lower,ROUND(BidScale!C12,4)&lt;=Upper),ROUND(BidScale!C12,4),""),"")</f>
        <v>37.5</v>
      </c>
      <c r="G12" s="9">
        <f>IF(ISNUMBER(BidScale!D12),IF(AND(BidScale!D12&gt;Lower,BidScale!D12&lt;Upper,ROUND(BidScale!D12,4)&gt;=Lower,ROUND(BidScale!D12,4)&lt;=Upper),ROUND(BidScale!D12,4),""),"")</f>
        <v>47.5</v>
      </c>
      <c r="H12" s="10">
        <f>IF(ISNUMBER(BidScale!D12),IF(AND(BidScale!D12&gt;Lower,BidScale!D12&lt;Upper,ROUND(BidScale!D12+0.1,4)&gt;=Lower,ROUND(BidScale!D12+0.1,4)&lt;=Upper),ROUND(BidScale!D12+0.1,4),""),"")</f>
        <v>47.6</v>
      </c>
      <c r="I12" s="9">
        <f>IF(ISNUMBER(BidScale!E12),IF(AND(BidScale!E12&gt;Lower,BidScale!E12&lt;Upper,ROUND(BidScale!E12,4)&gt;=Lower,ROUND(BidScale!E12,4)&lt;=Upper),ROUND(BidScale!E12,4),""),"")</f>
        <v>50</v>
      </c>
      <c r="J12" s="10">
        <f>IF(ISNUMBER(BidScale!E12),IF(AND(BidScale!E12&gt;Lower,BidScale!E12&lt;Upper,ROUND(BidScale!E12+0.1,4)&gt;=Lower,ROUND(BidScale!E12+0.1,4)&lt;=Upper),ROUND(BidScale!E12+0.1,4),""),"")</f>
        <v>50.1</v>
      </c>
      <c r="K12" s="9">
        <f>IF(ISNUMBER(BidScale!F12),IF(AND(BidScale!F12&gt;Lower,BidScale!F12&lt;Upper,ROUND(BidScale!F12,4)&gt;=Lower,ROUND(BidScale!F12,4)&lt;=Upper),ROUND(BidScale!F12,4),""),"")</f>
        <v>67.5</v>
      </c>
      <c r="L12" s="10">
        <f>IF(ISNUMBER(BidScale!F12),IF(AND(BidScale!F12&gt;Lower,BidScale!F12&lt;Upper,ROUND(BidScale!F12+0.1,4)&gt;=Lower,ROUND(BidScale!F12+0.1,4)&lt;=Upper),ROUND(BidScale!F12+0.1,4),""),"")</f>
        <v>67.599999999999994</v>
      </c>
    </row>
    <row r="13" spans="1:15">
      <c r="A13" s="7">
        <f>IF(ISNUMBER(BidScale!A13),IF(AND(BidScale!A13&gt;Lower,BidScale!A13&lt;Upper,ROUND(BidScale!A13-0.1,4)&gt;=Lower,ROUND(BidScale!A13-0.1,4)&lt;=Upper),ROUND(BidScale!A13-0.1,4),""),"")</f>
        <v>74.900000000000006</v>
      </c>
      <c r="B13" s="8">
        <f>IF(ISNUMBER(BidScale!A13),IF(AND(BidScale!A13&gt;Lower,BidScale!A13&lt;Upper,ROUND(BidScale!A13,4)&gt;=Lower,ROUND(BidScale!A13,4)&lt;=Upper),ROUND(BidScale!A13,4),""),"")</f>
        <v>75</v>
      </c>
      <c r="C13" s="7">
        <f>IF(ISNUMBER(BidScale!B13),IF(AND(BidScale!B13&gt;Lower,BidScale!B13&lt;Upper,ROUND(BidScale!B13-0.1,4)&gt;=Lower,ROUND(BidScale!B13-0.1,4)&lt;=Upper),ROUND(BidScale!B13-0.1,4),""),"")</f>
        <v>24.9</v>
      </c>
      <c r="D13" s="8">
        <f>IF(ISNUMBER(BidScale!B13),IF(AND(BidScale!B13&gt;Lower,BidScale!B13&lt;Upper,ROUND(BidScale!B13,4)&gt;=Lower,ROUND(BidScale!B13,4)&lt;=Upper),ROUND(BidScale!B13,4),""),"")</f>
        <v>25</v>
      </c>
      <c r="E13" s="7">
        <f>IF(ISNUMBER(BidScale!C13),IF(AND(BidScale!C13&gt;Lower,BidScale!C13&lt;Upper,ROUND(BidScale!C13-0.1,4)&gt;=Lower,ROUND(BidScale!C13-0.1,4)&lt;=Upper),ROUND(BidScale!C13-0.1,4),""),"")</f>
        <v>34.9</v>
      </c>
      <c r="F13" s="8">
        <f>IF(ISNUMBER(BidScale!C13),IF(AND(BidScale!C13&gt;Lower,BidScale!C13&lt;Upper,ROUND(BidScale!C13,4)&gt;=Lower,ROUND(BidScale!C13,4)&lt;=Upper),ROUND(BidScale!C13,4),""),"")</f>
        <v>35</v>
      </c>
      <c r="G13" s="9">
        <f>IF(ISNUMBER(BidScale!D13),IF(AND(BidScale!D13&gt;Lower,BidScale!D13&lt;Upper,ROUND(BidScale!D13,4)&gt;=Lower,ROUND(BidScale!D13,4)&lt;=Upper),ROUND(BidScale!D13,4),""),"")</f>
        <v>75</v>
      </c>
      <c r="H13" s="10">
        <f>IF(ISNUMBER(BidScale!D13),IF(AND(BidScale!D13&gt;Lower,BidScale!D13&lt;Upper,ROUND(BidScale!D13+0.1,4)&gt;=Lower,ROUND(BidScale!D13+0.1,4)&lt;=Upper),ROUND(BidScale!D13+0.1,4),""),"")</f>
        <v>75.099999999999994</v>
      </c>
      <c r="I13" s="9">
        <f>IF(ISNUMBER(BidScale!E13),IF(AND(BidScale!E13&gt;Lower,BidScale!E13&lt;Upper,ROUND(BidScale!E13,4)&gt;=Lower,ROUND(BidScale!E13,4)&lt;=Upper),ROUND(BidScale!E13,4),""),"")</f>
        <v>55</v>
      </c>
      <c r="J13" s="10">
        <f>IF(ISNUMBER(BidScale!E13),IF(AND(BidScale!E13&gt;Lower,BidScale!E13&lt;Upper,ROUND(BidScale!E13+0.1,4)&gt;=Lower,ROUND(BidScale!E13+0.1,4)&lt;=Upper),ROUND(BidScale!E13+0.1,4),""),"")</f>
        <v>55.1</v>
      </c>
      <c r="K13" s="9">
        <f>IF(ISNUMBER(BidScale!F13),IF(AND(BidScale!F13&gt;Lower,BidScale!F13&lt;Upper,ROUND(BidScale!F13,4)&gt;=Lower,ROUND(BidScale!F13,4)&lt;=Upper),ROUND(BidScale!F13,4),""),"")</f>
        <v>65</v>
      </c>
      <c r="L13" s="10">
        <f>IF(ISNUMBER(BidScale!F13),IF(AND(BidScale!F13&gt;Lower,BidScale!F13&lt;Upper,ROUND(BidScale!F13+0.1,4)&gt;=Lower,ROUND(BidScale!F13+0.1,4)&lt;=Upper),ROUND(BidScale!F13+0.1,4),""),"")</f>
        <v>65.099999999999994</v>
      </c>
    </row>
    <row r="14" spans="1:15">
      <c r="A14" s="7">
        <f>IF(ISNUMBER(BidScale!A14),IF(AND(BidScale!A14&gt;Lower,BidScale!A14&lt;Upper,ROUND(BidScale!A14-0.1,4)&gt;=Lower,ROUND(BidScale!A14-0.1,4)&lt;=Upper),ROUND(BidScale!A14-0.1,4),""),"")</f>
        <v>17.399999999999999</v>
      </c>
      <c r="B14" s="8">
        <f>IF(ISNUMBER(BidScale!A14),IF(AND(BidScale!A14&gt;Lower,BidScale!A14&lt;Upper,ROUND(BidScale!A14,4)&gt;=Lower,ROUND(BidScale!A14,4)&lt;=Upper),ROUND(BidScale!A14,4),""),"")</f>
        <v>17.5</v>
      </c>
      <c r="C14" s="7">
        <f>IF(ISNUMBER(BidScale!B14),IF(AND(BidScale!B14&gt;Lower,BidScale!B14&lt;Upper,ROUND(BidScale!B14-0.1,4)&gt;=Lower,ROUND(BidScale!B14-0.1,4)&lt;=Upper),ROUND(BidScale!B14-0.1,4),""),"")</f>
        <v>27.4</v>
      </c>
      <c r="D14" s="8">
        <f>IF(ISNUMBER(BidScale!B14),IF(AND(BidScale!B14&gt;Lower,BidScale!B14&lt;Upper,ROUND(BidScale!B14,4)&gt;=Lower,ROUND(BidScale!B14,4)&lt;=Upper),ROUND(BidScale!B14,4),""),"")</f>
        <v>27.5</v>
      </c>
      <c r="E14" s="7">
        <f>IF(ISNUMBER(BidScale!C14),IF(AND(BidScale!C14&gt;Lower,BidScale!C14&lt;Upper,ROUND(BidScale!C14-0.1,4)&gt;=Lower,ROUND(BidScale!C14-0.1,4)&lt;=Upper),ROUND(BidScale!C14-0.1,4),""),"")</f>
        <v>37.4</v>
      </c>
      <c r="F14" s="8">
        <f>IF(ISNUMBER(BidScale!C14),IF(AND(BidScale!C14&gt;Lower,BidScale!C14&lt;Upper,ROUND(BidScale!C14,4)&gt;=Lower,ROUND(BidScale!C14,4)&lt;=Upper),ROUND(BidScale!C14,4),""),"")</f>
        <v>37.5</v>
      </c>
      <c r="G14" s="9">
        <f>IF(ISNUMBER(BidScale!D14),IF(AND(BidScale!D14&gt;Lower,BidScale!D14&lt;Upper,ROUND(BidScale!D14,4)&gt;=Lower,ROUND(BidScale!D14,4)&lt;=Upper),ROUND(BidScale!D14,4),""),"")</f>
        <v>47.5</v>
      </c>
      <c r="H14" s="10">
        <f>IF(ISNUMBER(BidScale!D14),IF(AND(BidScale!D14&gt;Lower,BidScale!D14&lt;Upper,ROUND(BidScale!D14+0.1,4)&gt;=Lower,ROUND(BidScale!D14+0.1,4)&lt;=Upper),ROUND(BidScale!D14+0.1,4),""),"")</f>
        <v>47.6</v>
      </c>
      <c r="I14" s="9">
        <f>IF(ISNUMBER(BidScale!E14),IF(AND(BidScale!E14&gt;Lower,BidScale!E14&lt;Upper,ROUND(BidScale!E14,4)&gt;=Lower,ROUND(BidScale!E14,4)&lt;=Upper),ROUND(BidScale!E14,4),""),"")</f>
        <v>57.5</v>
      </c>
      <c r="J14" s="10">
        <f>IF(ISNUMBER(BidScale!E14),IF(AND(BidScale!E14&gt;Lower,BidScale!E14&lt;Upper,ROUND(BidScale!E14+0.1,4)&gt;=Lower,ROUND(BidScale!E14+0.1,4)&lt;=Upper),ROUND(BidScale!E14+0.1,4),""),"")</f>
        <v>57.6</v>
      </c>
      <c r="K14" s="9">
        <f>IF(ISNUMBER(BidScale!F14),IF(AND(BidScale!F14&gt;Lower,BidScale!F14&lt;Upper,ROUND(BidScale!F14,4)&gt;=Lower,ROUND(BidScale!F14,4)&lt;=Upper),ROUND(BidScale!F14,4),""),"")</f>
        <v>67.5</v>
      </c>
      <c r="L14" s="10">
        <f>IF(ISNUMBER(BidScale!F14),IF(AND(BidScale!F14&gt;Lower,BidScale!F14&lt;Upper,ROUND(BidScale!F14+0.1,4)&gt;=Lower,ROUND(BidScale!F14+0.1,4)&lt;=Upper),ROUND(BidScale!F14+0.1,4),""),"")</f>
        <v>67.599999999999994</v>
      </c>
    </row>
    <row r="15" spans="1:15">
      <c r="A15" s="7">
        <f>IF(ISNUMBER(BidScale!A15),IF(AND(BidScale!A15&gt;Lower,BidScale!A15&lt;Upper,ROUND(BidScale!A15-0.1,4)&gt;=Lower,ROUND(BidScale!A15-0.1,4)&lt;=Upper),ROUND(BidScale!A15-0.1,4),""),"")</f>
        <v>19.899999999999999</v>
      </c>
      <c r="B15" s="8">
        <f>IF(ISNUMBER(BidScale!A15),IF(AND(BidScale!A15&gt;Lower,BidScale!A15&lt;Upper,ROUND(BidScale!A15,4)&gt;=Lower,ROUND(BidScale!A15,4)&lt;=Upper),ROUND(BidScale!A15,4),""),"")</f>
        <v>20</v>
      </c>
      <c r="C15" s="7">
        <f>IF(ISNUMBER(BidScale!B15),IF(AND(BidScale!B15&gt;Lower,BidScale!B15&lt;Upper,ROUND(BidScale!B15-0.1,4)&gt;=Lower,ROUND(BidScale!B15-0.1,4)&lt;=Upper),ROUND(BidScale!B15-0.1,4),""),"")</f>
        <v>29.9</v>
      </c>
      <c r="D15" s="8">
        <f>IF(ISNUMBER(BidScale!B15),IF(AND(BidScale!B15&gt;Lower,BidScale!B15&lt;Upper,ROUND(BidScale!B15,4)&gt;=Lower,ROUND(BidScale!B15,4)&lt;=Upper),ROUND(BidScale!B15,4),""),"")</f>
        <v>30</v>
      </c>
      <c r="E15" s="7">
        <f>IF(ISNUMBER(BidScale!C15),IF(AND(BidScale!C15&gt;Lower,BidScale!C15&lt;Upper,ROUND(BidScale!C15-0.1,4)&gt;=Lower,ROUND(BidScale!C15-0.1,4)&lt;=Upper),ROUND(BidScale!C15-0.1,4),""),"")</f>
        <v>39.9</v>
      </c>
      <c r="F15" s="8">
        <f>IF(ISNUMBER(BidScale!C15),IF(AND(BidScale!C15&gt;Lower,BidScale!C15&lt;Upper,ROUND(BidScale!C15,4)&gt;=Lower,ROUND(BidScale!C15,4)&lt;=Upper),ROUND(BidScale!C15,4),""),"")</f>
        <v>40</v>
      </c>
      <c r="G15" s="9">
        <f>IF(ISNUMBER(BidScale!D15),IF(AND(BidScale!D15&gt;Lower,BidScale!D15&lt;Upper,ROUND(BidScale!D15,4)&gt;=Lower,ROUND(BidScale!D15,4)&lt;=Upper),ROUND(BidScale!D15,4),""),"")</f>
        <v>50</v>
      </c>
      <c r="H15" s="10">
        <f>IF(ISNUMBER(BidScale!D15),IF(AND(BidScale!D15&gt;Lower,BidScale!D15&lt;Upper,ROUND(BidScale!D15+0.1,4)&gt;=Lower,ROUND(BidScale!D15+0.1,4)&lt;=Upper),ROUND(BidScale!D15+0.1,4),""),"")</f>
        <v>50.1</v>
      </c>
      <c r="I15" s="9">
        <f>IF(ISNUMBER(BidScale!E15),IF(AND(BidScale!E15&gt;Lower,BidScale!E15&lt;Upper,ROUND(BidScale!E15,4)&gt;=Lower,ROUND(BidScale!E15,4)&lt;=Upper),ROUND(BidScale!E15,4),""),"")</f>
        <v>60</v>
      </c>
      <c r="J15" s="10">
        <f>IF(ISNUMBER(BidScale!E15),IF(AND(BidScale!E15&gt;Lower,BidScale!E15&lt;Upper,ROUND(BidScale!E15+0.1,4)&gt;=Lower,ROUND(BidScale!E15+0.1,4)&lt;=Upper),ROUND(BidScale!E15+0.1,4),""),"")</f>
        <v>60.1</v>
      </c>
      <c r="K15" s="9">
        <f>IF(ISNUMBER(BidScale!F15),IF(AND(BidScale!F15&gt;Lower,BidScale!F15&lt;Upper,ROUND(BidScale!F15,4)&gt;=Lower,ROUND(BidScale!F15,4)&lt;=Upper),ROUND(BidScale!F15,4),""),"")</f>
        <v>70</v>
      </c>
      <c r="L15" s="10">
        <f>IF(ISNUMBER(BidScale!F15),IF(AND(BidScale!F15&gt;Lower,BidScale!F15&lt;Upper,ROUND(BidScale!F15+0.1,4)&gt;=Lower,ROUND(BidScale!F15+0.1,4)&lt;=Upper),ROUND(BidScale!F15+0.1,4),""),"")</f>
        <v>70.099999999999994</v>
      </c>
    </row>
    <row r="16" spans="1:15">
      <c r="A16" s="7">
        <f>IF(ISNUMBER(BidScale!A16),IF(AND(BidScale!A16&gt;Lower,BidScale!A16&lt;Upper,ROUND(BidScale!A16-0.1,4)&gt;=Lower,ROUND(BidScale!A16-0.1,4)&lt;=Upper),ROUND(BidScale!A16-0.1,4),""),"")</f>
        <v>19.899999999999999</v>
      </c>
      <c r="B16" s="8">
        <f>IF(ISNUMBER(BidScale!A16),IF(AND(BidScale!A16&gt;Lower,BidScale!A16&lt;Upper,ROUND(BidScale!A16,4)&gt;=Lower,ROUND(BidScale!A16,4)&lt;=Upper),ROUND(BidScale!A16,4),""),"")</f>
        <v>20</v>
      </c>
      <c r="C16" s="7">
        <f>IF(ISNUMBER(BidScale!B16),IF(AND(BidScale!B16&gt;Lower,BidScale!B16&lt;Upper,ROUND(BidScale!B16-0.1,4)&gt;=Lower,ROUND(BidScale!B16-0.1,4)&lt;=Upper),ROUND(BidScale!B16-0.1,4),""),"")</f>
        <v>29.9</v>
      </c>
      <c r="D16" s="8">
        <f>IF(ISNUMBER(BidScale!B16),IF(AND(BidScale!B16&gt;Lower,BidScale!B16&lt;Upper,ROUND(BidScale!B16,4)&gt;=Lower,ROUND(BidScale!B16,4)&lt;=Upper),ROUND(BidScale!B16,4),""),"")</f>
        <v>30</v>
      </c>
      <c r="E16" s="7">
        <f>IF(ISNUMBER(BidScale!C16),IF(AND(BidScale!C16&gt;Lower,BidScale!C16&lt;Upper,ROUND(BidScale!C16-0.1,4)&gt;=Lower,ROUND(BidScale!C16-0.1,4)&lt;=Upper),ROUND(BidScale!C16-0.1,4),""),"")</f>
        <v>39.9</v>
      </c>
      <c r="F16" s="8">
        <f>IF(ISNUMBER(BidScale!C16),IF(AND(BidScale!C16&gt;Lower,BidScale!C16&lt;Upper,ROUND(BidScale!C16,4)&gt;=Lower,ROUND(BidScale!C16,4)&lt;=Upper),ROUND(BidScale!C16,4),""),"")</f>
        <v>40</v>
      </c>
      <c r="G16" s="9">
        <f>IF(ISNUMBER(BidScale!D16),IF(AND(BidScale!D16&gt;Lower,BidScale!D16&lt;Upper,ROUND(BidScale!D16,4)&gt;=Lower,ROUND(BidScale!D16,4)&lt;=Upper),ROUND(BidScale!D16,4),""),"")</f>
        <v>50</v>
      </c>
      <c r="H16" s="10">
        <f>IF(ISNUMBER(BidScale!D16),IF(AND(BidScale!D16&gt;Lower,BidScale!D16&lt;Upper,ROUND(BidScale!D16+0.1,4)&gt;=Lower,ROUND(BidScale!D16+0.1,4)&lt;=Upper),ROUND(BidScale!D16+0.1,4),""),"")</f>
        <v>50.1</v>
      </c>
      <c r="I16" s="9">
        <f>IF(ISNUMBER(BidScale!E16),IF(AND(BidScale!E16&gt;Lower,BidScale!E16&lt;Upper,ROUND(BidScale!E16,4)&gt;=Lower,ROUND(BidScale!E16,4)&lt;=Upper),ROUND(BidScale!E16,4),""),"")</f>
        <v>60</v>
      </c>
      <c r="J16" s="10">
        <f>IF(ISNUMBER(BidScale!E16),IF(AND(BidScale!E16&gt;Lower,BidScale!E16&lt;Upper,ROUND(BidScale!E16+0.1,4)&gt;=Lower,ROUND(BidScale!E16+0.1,4)&lt;=Upper),ROUND(BidScale!E16+0.1,4),""),"")</f>
        <v>60.1</v>
      </c>
      <c r="K16" s="9">
        <f>IF(ISNUMBER(BidScale!F16),IF(AND(BidScale!F16&gt;Lower,BidScale!F16&lt;Upper,ROUND(BidScale!F16,4)&gt;=Lower,ROUND(BidScale!F16,4)&lt;=Upper),ROUND(BidScale!F16,4),""),"")</f>
        <v>70</v>
      </c>
      <c r="L16" s="10">
        <f>IF(ISNUMBER(BidScale!F16),IF(AND(BidScale!F16&gt;Lower,BidScale!F16&lt;Upper,ROUND(BidScale!F16+0.1,4)&gt;=Lower,ROUND(BidScale!F16+0.1,4)&lt;=Upper),ROUND(BidScale!F16+0.1,4),""),"")</f>
        <v>70.099999999999994</v>
      </c>
    </row>
    <row r="17" spans="1:12">
      <c r="A17" s="7">
        <f>IF(ISNUMBER(BidScale!A17),IF(AND(BidScale!A17&gt;Lower,BidScale!A17&lt;Upper,ROUND(BidScale!A17-0.1,4)&gt;=Lower,ROUND(BidScale!A17-0.1,4)&lt;=Upper),ROUND(BidScale!A17-0.1,4),""),"")</f>
        <v>17.399999999999999</v>
      </c>
      <c r="B17" s="8">
        <f>IF(ISNUMBER(BidScale!A17),IF(AND(BidScale!A17&gt;Lower,BidScale!A17&lt;Upper,ROUND(BidScale!A17,4)&gt;=Lower,ROUND(BidScale!A17,4)&lt;=Upper),ROUND(BidScale!A17,4),""),"")</f>
        <v>17.5</v>
      </c>
      <c r="C17" s="7">
        <f>IF(ISNUMBER(BidScale!B17),IF(AND(BidScale!B17&gt;Lower,BidScale!B17&lt;Upper,ROUND(BidScale!B17-0.1,4)&gt;=Lower,ROUND(BidScale!B17-0.1,4)&lt;=Upper),ROUND(BidScale!B17-0.1,4),""),"")</f>
        <v>27.4</v>
      </c>
      <c r="D17" s="8">
        <f>IF(ISNUMBER(BidScale!B17),IF(AND(BidScale!B17&gt;Lower,BidScale!B17&lt;Upper,ROUND(BidScale!B17,4)&gt;=Lower,ROUND(BidScale!B17,4)&lt;=Upper),ROUND(BidScale!B17,4),""),"")</f>
        <v>27.5</v>
      </c>
      <c r="E17" s="7">
        <f>IF(ISNUMBER(BidScale!C17),IF(AND(BidScale!C17&gt;Lower,BidScale!C17&lt;Upper,ROUND(BidScale!C17-0.1,4)&gt;=Lower,ROUND(BidScale!C17-0.1,4)&lt;=Upper),ROUND(BidScale!C17-0.1,4),""),"")</f>
        <v>37.4</v>
      </c>
      <c r="F17" s="8">
        <f>IF(ISNUMBER(BidScale!C17),IF(AND(BidScale!C17&gt;Lower,BidScale!C17&lt;Upper,ROUND(BidScale!C17,4)&gt;=Lower,ROUND(BidScale!C17,4)&lt;=Upper),ROUND(BidScale!C17,4),""),"")</f>
        <v>37.5</v>
      </c>
      <c r="G17" s="9">
        <f>IF(ISNUMBER(BidScale!D17),IF(AND(BidScale!D17&gt;Lower,BidScale!D17&lt;Upper,ROUND(BidScale!D17,4)&gt;=Lower,ROUND(BidScale!D17,4)&lt;=Upper),ROUND(BidScale!D17,4),""),"")</f>
        <v>47.5</v>
      </c>
      <c r="H17" s="10">
        <f>IF(ISNUMBER(BidScale!D17),IF(AND(BidScale!D17&gt;Lower,BidScale!D17&lt;Upper,ROUND(BidScale!D17+0.1,4)&gt;=Lower,ROUND(BidScale!D17+0.1,4)&lt;=Upper),ROUND(BidScale!D17+0.1,4),""),"")</f>
        <v>47.6</v>
      </c>
      <c r="I17" s="9">
        <f>IF(ISNUMBER(BidScale!E17),IF(AND(BidScale!E17&gt;Lower,BidScale!E17&lt;Upper,ROUND(BidScale!E17,4)&gt;=Lower,ROUND(BidScale!E17,4)&lt;=Upper),ROUND(BidScale!E17,4),""),"")</f>
        <v>57.5</v>
      </c>
      <c r="J17" s="10">
        <f>IF(ISNUMBER(BidScale!E17),IF(AND(BidScale!E17&gt;Lower,BidScale!E17&lt;Upper,ROUND(BidScale!E17+0.1,4)&gt;=Lower,ROUND(BidScale!E17+0.1,4)&lt;=Upper),ROUND(BidScale!E17+0.1,4),""),"")</f>
        <v>57.6</v>
      </c>
      <c r="K17" s="9">
        <f>IF(ISNUMBER(BidScale!F17),IF(AND(BidScale!F17&gt;Lower,BidScale!F17&lt;Upper,ROUND(BidScale!F17,4)&gt;=Lower,ROUND(BidScale!F17,4)&lt;=Upper),ROUND(BidScale!F17,4),""),"")</f>
        <v>67.5</v>
      </c>
      <c r="L17" s="10">
        <f>IF(ISNUMBER(BidScale!F17),IF(AND(BidScale!F17&gt;Lower,BidScale!F17&lt;Upper,ROUND(BidScale!F17+0.1,4)&gt;=Lower,ROUND(BidScale!F17+0.1,4)&lt;=Upper),ROUND(BidScale!F17+0.1,4),""),"")</f>
        <v>67.599999999999994</v>
      </c>
    </row>
    <row r="18" spans="1:12">
      <c r="A18" s="7">
        <f>IF(ISNUMBER(BidScale!A18),IF(AND(BidScale!A18&gt;Lower,BidScale!A18&lt;Upper,ROUND(BidScale!A18-0.1,4)&gt;=Lower,ROUND(BidScale!A18-0.1,4)&lt;=Upper),ROUND(BidScale!A18-0.1,4),""),"")</f>
        <v>19.899999999999999</v>
      </c>
      <c r="B18" s="8">
        <f>IF(ISNUMBER(BidScale!A18),IF(AND(BidScale!A18&gt;Lower,BidScale!A18&lt;Upper,ROUND(BidScale!A18,4)&gt;=Lower,ROUND(BidScale!A18,4)&lt;=Upper),ROUND(BidScale!A18,4),""),"")</f>
        <v>20</v>
      </c>
      <c r="C18" s="7">
        <f>IF(ISNUMBER(BidScale!B18),IF(AND(BidScale!B18&gt;Lower,BidScale!B18&lt;Upper,ROUND(BidScale!B18-0.1,4)&gt;=Lower,ROUND(BidScale!B18-0.1,4)&lt;=Upper),ROUND(BidScale!B18-0.1,4),""),"")</f>
        <v>29.9</v>
      </c>
      <c r="D18" s="8">
        <f>IF(ISNUMBER(BidScale!B18),IF(AND(BidScale!B18&gt;Lower,BidScale!B18&lt;Upper,ROUND(BidScale!B18,4)&gt;=Lower,ROUND(BidScale!B18,4)&lt;=Upper),ROUND(BidScale!B18,4),""),"")</f>
        <v>30</v>
      </c>
      <c r="E18" s="7">
        <f>IF(ISNUMBER(BidScale!C18),IF(AND(BidScale!C18&gt;Lower,BidScale!C18&lt;Upper,ROUND(BidScale!C18-0.1,4)&gt;=Lower,ROUND(BidScale!C18-0.1,4)&lt;=Upper),ROUND(BidScale!C18-0.1,4),""),"")</f>
        <v>39.9</v>
      </c>
      <c r="F18" s="8">
        <f>IF(ISNUMBER(BidScale!C18),IF(AND(BidScale!C18&gt;Lower,BidScale!C18&lt;Upper,ROUND(BidScale!C18,4)&gt;=Lower,ROUND(BidScale!C18,4)&lt;=Upper),ROUND(BidScale!C18,4),""),"")</f>
        <v>40</v>
      </c>
      <c r="G18" s="9">
        <f>IF(ISNUMBER(BidScale!D18),IF(AND(BidScale!D18&gt;Lower,BidScale!D18&lt;Upper,ROUND(BidScale!D18,4)&gt;=Lower,ROUND(BidScale!D18,4)&lt;=Upper),ROUND(BidScale!D18,4),""),"")</f>
        <v>50</v>
      </c>
      <c r="H18" s="10">
        <f>IF(ISNUMBER(BidScale!D18),IF(AND(BidScale!D18&gt;Lower,BidScale!D18&lt;Upper,ROUND(BidScale!D18+0.1,4)&gt;=Lower,ROUND(BidScale!D18+0.1,4)&lt;=Upper),ROUND(BidScale!D18+0.1,4),""),"")</f>
        <v>50.1</v>
      </c>
      <c r="I18" s="9">
        <f>IF(ISNUMBER(BidScale!E18),IF(AND(BidScale!E18&gt;Lower,BidScale!E18&lt;Upper,ROUND(BidScale!E18,4)&gt;=Lower,ROUND(BidScale!E18,4)&lt;=Upper),ROUND(BidScale!E18,4),""),"")</f>
        <v>60</v>
      </c>
      <c r="J18" s="10">
        <f>IF(ISNUMBER(BidScale!E18),IF(AND(BidScale!E18&gt;Lower,BidScale!E18&lt;Upper,ROUND(BidScale!E18+0.1,4)&gt;=Lower,ROUND(BidScale!E18+0.1,4)&lt;=Upper),ROUND(BidScale!E18+0.1,4),""),"")</f>
        <v>60.1</v>
      </c>
      <c r="K18" s="9">
        <f>IF(ISNUMBER(BidScale!F18),IF(AND(BidScale!F18&gt;Lower,BidScale!F18&lt;Upper,ROUND(BidScale!F18,4)&gt;=Lower,ROUND(BidScale!F18,4)&lt;=Upper),ROUND(BidScale!F18,4),""),"")</f>
        <v>70</v>
      </c>
      <c r="L18" s="10">
        <f>IF(ISNUMBER(BidScale!F18),IF(AND(BidScale!F18&gt;Lower,BidScale!F18&lt;Upper,ROUND(BidScale!F18+0.1,4)&gt;=Lower,ROUND(BidScale!F18+0.1,4)&lt;=Upper),ROUND(BidScale!F18+0.1,4),""),"")</f>
        <v>70.099999999999994</v>
      </c>
    </row>
    <row r="19" spans="1:12">
      <c r="A19" s="7">
        <f>IF(ISNUMBER(BidScale!A19),IF(AND(BidScale!A19&gt;Lower,BidScale!A19&lt;Upper,ROUND(BidScale!A19-0.1,4)&gt;=Lower,ROUND(BidScale!A19-0.1,4)&lt;=Upper),ROUND(BidScale!A19-0.1,4),""),"")</f>
        <v>24.9</v>
      </c>
      <c r="B19" s="8">
        <f>IF(ISNUMBER(BidScale!A19),IF(AND(BidScale!A19&gt;Lower,BidScale!A19&lt;Upper,ROUND(BidScale!A19,4)&gt;=Lower,ROUND(BidScale!A19,4)&lt;=Upper),ROUND(BidScale!A19,4),""),"")</f>
        <v>25</v>
      </c>
      <c r="C19" s="7">
        <f>IF(ISNUMBER(BidScale!B19),IF(AND(BidScale!B19&gt;Lower,BidScale!B19&lt;Upper,ROUND(BidScale!B19-0.1,4)&gt;=Lower,ROUND(BidScale!B19-0.1,4)&lt;=Upper),ROUND(BidScale!B19-0.1,4),""),"")</f>
        <v>34.9</v>
      </c>
      <c r="D19" s="8">
        <f>IF(ISNUMBER(BidScale!B19),IF(AND(BidScale!B19&gt;Lower,BidScale!B19&lt;Upper,ROUND(BidScale!B19,4)&gt;=Lower,ROUND(BidScale!B19,4)&lt;=Upper),ROUND(BidScale!B19,4),""),"")</f>
        <v>35</v>
      </c>
      <c r="E19" s="7">
        <f>IF(ISNUMBER(BidScale!C19),IF(AND(BidScale!C19&gt;Lower,BidScale!C19&lt;Upper,ROUND(BidScale!C19-0.1,4)&gt;=Lower,ROUND(BidScale!C19-0.1,4)&lt;=Upper),ROUND(BidScale!C19-0.1,4),""),"")</f>
        <v>44.9</v>
      </c>
      <c r="F19" s="8">
        <f>IF(ISNUMBER(BidScale!C19),IF(AND(BidScale!C19&gt;Lower,BidScale!C19&lt;Upper,ROUND(BidScale!C19,4)&gt;=Lower,ROUND(BidScale!C19,4)&lt;=Upper),ROUND(BidScale!C19,4),""),"")</f>
        <v>45</v>
      </c>
      <c r="G19" s="9">
        <f>IF(ISNUMBER(BidScale!D19),IF(AND(BidScale!D19&gt;Lower,BidScale!D19&lt;Upper,ROUND(BidScale!D19,4)&gt;=Lower,ROUND(BidScale!D19,4)&lt;=Upper),ROUND(BidScale!D19,4),""),"")</f>
        <v>55</v>
      </c>
      <c r="H19" s="10">
        <f>IF(ISNUMBER(BidScale!D19),IF(AND(BidScale!D19&gt;Lower,BidScale!D19&lt;Upper,ROUND(BidScale!D19+0.1,4)&gt;=Lower,ROUND(BidScale!D19+0.1,4)&lt;=Upper),ROUND(BidScale!D19+0.1,4),""),"")</f>
        <v>55.1</v>
      </c>
      <c r="I19" s="9">
        <f>IF(ISNUMBER(BidScale!E19),IF(AND(BidScale!E19&gt;Lower,BidScale!E19&lt;Upper,ROUND(BidScale!E19,4)&gt;=Lower,ROUND(BidScale!E19,4)&lt;=Upper),ROUND(BidScale!E19,4),""),"")</f>
        <v>65</v>
      </c>
      <c r="J19" s="10">
        <f>IF(ISNUMBER(BidScale!E19),IF(AND(BidScale!E19&gt;Lower,BidScale!E19&lt;Upper,ROUND(BidScale!E19+0.1,4)&gt;=Lower,ROUND(BidScale!E19+0.1,4)&lt;=Upper),ROUND(BidScale!E19+0.1,4),""),"")</f>
        <v>65.099999999999994</v>
      </c>
      <c r="K19" s="9">
        <f>IF(ISNUMBER(BidScale!F19),IF(AND(BidScale!F19&gt;Lower,BidScale!F19&lt;Upper,ROUND(BidScale!F19,4)&gt;=Lower,ROUND(BidScale!F19,4)&lt;=Upper),ROUND(BidScale!F19,4),""),"")</f>
        <v>75</v>
      </c>
      <c r="L19" s="10">
        <f>IF(ISNUMBER(BidScale!F19),IF(AND(BidScale!F19&gt;Lower,BidScale!F19&lt;Upper,ROUND(BidScale!F19+0.1,4)&gt;=Lower,ROUND(BidScale!F19+0.1,4)&lt;=Upper),ROUND(BidScale!F19+0.1,4),""),"")</f>
        <v>75.099999999999994</v>
      </c>
    </row>
    <row r="20" spans="1:12">
      <c r="A20" s="7">
        <f>IF(ISNUMBER(BidScale!A20),IF(AND(BidScale!A20&gt;Lower,BidScale!A20&lt;Upper,ROUND(BidScale!A20-0.1,4)&gt;=Lower,ROUND(BidScale!A20-0.1,4)&lt;=Upper),ROUND(BidScale!A20-0.1,4),""),"")</f>
        <v>22.4</v>
      </c>
      <c r="B20" s="8">
        <f>IF(ISNUMBER(BidScale!A20),IF(AND(BidScale!A20&gt;Lower,BidScale!A20&lt;Upper,ROUND(BidScale!A20,4)&gt;=Lower,ROUND(BidScale!A20,4)&lt;=Upper),ROUND(BidScale!A20,4),""),"")</f>
        <v>22.5</v>
      </c>
      <c r="C20" s="7">
        <f>IF(ISNUMBER(BidScale!B20),IF(AND(BidScale!B20&gt;Lower,BidScale!B20&lt;Upper,ROUND(BidScale!B20-0.1,4)&gt;=Lower,ROUND(BidScale!B20-0.1,4)&lt;=Upper),ROUND(BidScale!B20-0.1,4),""),"")</f>
        <v>32.4</v>
      </c>
      <c r="D20" s="8">
        <f>IF(ISNUMBER(BidScale!B20),IF(AND(BidScale!B20&gt;Lower,BidScale!B20&lt;Upper,ROUND(BidScale!B20,4)&gt;=Lower,ROUND(BidScale!B20,4)&lt;=Upper),ROUND(BidScale!B20,4),""),"")</f>
        <v>32.5</v>
      </c>
      <c r="E20" s="7">
        <f>IF(ISNUMBER(BidScale!C20),IF(AND(BidScale!C20&gt;Lower,BidScale!C20&lt;Upper,ROUND(BidScale!C20-0.1,4)&gt;=Lower,ROUND(BidScale!C20-0.1,4)&lt;=Upper),ROUND(BidScale!C20-0.1,4),""),"")</f>
        <v>42.4</v>
      </c>
      <c r="F20" s="8">
        <f>IF(ISNUMBER(BidScale!C20),IF(AND(BidScale!C20&gt;Lower,BidScale!C20&lt;Upper,ROUND(BidScale!C20,4)&gt;=Lower,ROUND(BidScale!C20,4)&lt;=Upper),ROUND(BidScale!C20,4),""),"")</f>
        <v>42.5</v>
      </c>
      <c r="G20" s="9">
        <f>IF(ISNUMBER(BidScale!D20),IF(AND(BidScale!D20&gt;Lower,BidScale!D20&lt;Upper,ROUND(BidScale!D20,4)&gt;=Lower,ROUND(BidScale!D20,4)&lt;=Upper),ROUND(BidScale!D20,4),""),"")</f>
        <v>52.5</v>
      </c>
      <c r="H20" s="10">
        <f>IF(ISNUMBER(BidScale!D20),IF(AND(BidScale!D20&gt;Lower,BidScale!D20&lt;Upper,ROUND(BidScale!D20+0.1,4)&gt;=Lower,ROUND(BidScale!D20+0.1,4)&lt;=Upper),ROUND(BidScale!D20+0.1,4),""),"")</f>
        <v>52.6</v>
      </c>
      <c r="I20" s="9">
        <f>IF(ISNUMBER(BidScale!E20),IF(AND(BidScale!E20&gt;Lower,BidScale!E20&lt;Upper,ROUND(BidScale!E20,4)&gt;=Lower,ROUND(BidScale!E20,4)&lt;=Upper),ROUND(BidScale!E20,4),""),"")</f>
        <v>62.5</v>
      </c>
      <c r="J20" s="10">
        <f>IF(ISNUMBER(BidScale!E20),IF(AND(BidScale!E20&gt;Lower,BidScale!E20&lt;Upper,ROUND(BidScale!E20+0.1,4)&gt;=Lower,ROUND(BidScale!E20+0.1,4)&lt;=Upper),ROUND(BidScale!E20+0.1,4),""),"")</f>
        <v>62.6</v>
      </c>
      <c r="K20" s="9">
        <f>IF(ISNUMBER(BidScale!F20),IF(AND(BidScale!F20&gt;Lower,BidScale!F20&lt;Upper,ROUND(BidScale!F20,4)&gt;=Lower,ROUND(BidScale!F20,4)&lt;=Upper),ROUND(BidScale!F20,4),""),"")</f>
        <v>72.5</v>
      </c>
      <c r="L20" s="10">
        <f>IF(ISNUMBER(BidScale!F20),IF(AND(BidScale!F20&gt;Lower,BidScale!F20&lt;Upper,ROUND(BidScale!F20+0.1,4)&gt;=Lower,ROUND(BidScale!F20+0.1,4)&lt;=Upper),ROUND(BidScale!F20+0.1,4),""),"")</f>
        <v>72.599999999999994</v>
      </c>
    </row>
    <row r="21" spans="1:12">
      <c r="A21" s="7">
        <f>IF(ISNUMBER(BidScale!A21),IF(AND(BidScale!A21&gt;Lower,BidScale!A21&lt;Upper,ROUND(BidScale!A21-0.1,4)&gt;=Lower,ROUND(BidScale!A21-0.1,4)&lt;=Upper),ROUND(BidScale!A21-0.1,4),""),"")</f>
        <v>22.4</v>
      </c>
      <c r="B21" s="8">
        <f>IF(ISNUMBER(BidScale!A21),IF(AND(BidScale!A21&gt;Lower,BidScale!A21&lt;Upper,ROUND(BidScale!A21,4)&gt;=Lower,ROUND(BidScale!A21,4)&lt;=Upper),ROUND(BidScale!A21,4),""),"")</f>
        <v>22.5</v>
      </c>
      <c r="C21" s="7">
        <f>IF(ISNUMBER(BidScale!B21),IF(AND(BidScale!B21&gt;Lower,BidScale!B21&lt;Upper,ROUND(BidScale!B21-0.1,4)&gt;=Lower,ROUND(BidScale!B21-0.1,4)&lt;=Upper),ROUND(BidScale!B21-0.1,4),""),"")</f>
        <v>32.4</v>
      </c>
      <c r="D21" s="8">
        <f>IF(ISNUMBER(BidScale!B21),IF(AND(BidScale!B21&gt;Lower,BidScale!B21&lt;Upper,ROUND(BidScale!B21,4)&gt;=Lower,ROUND(BidScale!B21,4)&lt;=Upper),ROUND(BidScale!B21,4),""),"")</f>
        <v>32.5</v>
      </c>
      <c r="E21" s="7">
        <f>IF(ISNUMBER(BidScale!C21),IF(AND(BidScale!C21&gt;Lower,BidScale!C21&lt;Upper,ROUND(BidScale!C21-0.1,4)&gt;=Lower,ROUND(BidScale!C21-0.1,4)&lt;=Upper),ROUND(BidScale!C21-0.1,4),""),"")</f>
        <v>42.4</v>
      </c>
      <c r="F21" s="8">
        <f>IF(ISNUMBER(BidScale!C21),IF(AND(BidScale!C21&gt;Lower,BidScale!C21&lt;Upper,ROUND(BidScale!C21,4)&gt;=Lower,ROUND(BidScale!C21,4)&lt;=Upper),ROUND(BidScale!C21,4),""),"")</f>
        <v>42.5</v>
      </c>
      <c r="G21" s="9">
        <f>IF(ISNUMBER(BidScale!D21),IF(AND(BidScale!D21&gt;Lower,BidScale!D21&lt;Upper,ROUND(BidScale!D21,4)&gt;=Lower,ROUND(BidScale!D21,4)&lt;=Upper),ROUND(BidScale!D21,4),""),"")</f>
        <v>52.5</v>
      </c>
      <c r="H21" s="10">
        <f>IF(ISNUMBER(BidScale!D21),IF(AND(BidScale!D21&gt;Lower,BidScale!D21&lt;Upper,ROUND(BidScale!D21+0.1,4)&gt;=Lower,ROUND(BidScale!D21+0.1,4)&lt;=Upper),ROUND(BidScale!D21+0.1,4),""),"")</f>
        <v>52.6</v>
      </c>
      <c r="I21" s="9">
        <f>IF(ISNUMBER(BidScale!E21),IF(AND(BidScale!E21&gt;Lower,BidScale!E21&lt;Upper,ROUND(BidScale!E21,4)&gt;=Lower,ROUND(BidScale!E21,4)&lt;=Upper),ROUND(BidScale!E21,4),""),"")</f>
        <v>62.5</v>
      </c>
      <c r="J21" s="10">
        <f>IF(ISNUMBER(BidScale!E21),IF(AND(BidScale!E21&gt;Lower,BidScale!E21&lt;Upper,ROUND(BidScale!E21+0.1,4)&gt;=Lower,ROUND(BidScale!E21+0.1,4)&lt;=Upper),ROUND(BidScale!E21+0.1,4),""),"")</f>
        <v>62.6</v>
      </c>
      <c r="K21" s="9">
        <f>IF(ISNUMBER(BidScale!F21),IF(AND(BidScale!F21&gt;Lower,BidScale!F21&lt;Upper,ROUND(BidScale!F21,4)&gt;=Lower,ROUND(BidScale!F21,4)&lt;=Upper),ROUND(BidScale!F21,4),""),"")</f>
        <v>72.5</v>
      </c>
      <c r="L21" s="10">
        <f>IF(ISNUMBER(BidScale!F21),IF(AND(BidScale!F21&gt;Lower,BidScale!F21&lt;Upper,ROUND(BidScale!F21+0.1,4)&gt;=Lower,ROUND(BidScale!F21+0.1,4)&lt;=Upper),ROUND(BidScale!F21+0.1,4),""),"")</f>
        <v>72.599999999999994</v>
      </c>
    </row>
    <row r="22" spans="1:12">
      <c r="A22" s="7">
        <f>IF(ISNUMBER(BidScale!A22),IF(AND(BidScale!A22&gt;Lower,BidScale!A22&lt;Upper,ROUND(BidScale!A22-0.1,4)&gt;=Lower,ROUND(BidScale!A22-0.1,4)&lt;=Upper),ROUND(BidScale!A22-0.1,4),""),"")</f>
        <v>27.4</v>
      </c>
      <c r="B22" s="8">
        <f>IF(ISNUMBER(BidScale!A22),IF(AND(BidScale!A22&gt;Lower,BidScale!A22&lt;Upper,ROUND(BidScale!A22,4)&gt;=Lower,ROUND(BidScale!A22,4)&lt;=Upper),ROUND(BidScale!A22,4),""),"")</f>
        <v>27.5</v>
      </c>
      <c r="C22" s="7">
        <f>IF(ISNUMBER(BidScale!B22),IF(AND(BidScale!B22&gt;Lower,BidScale!B22&lt;Upper,ROUND(BidScale!B22-0.1,4)&gt;=Lower,ROUND(BidScale!B22-0.1,4)&lt;=Upper),ROUND(BidScale!B22-0.1,4),""),"")</f>
        <v>37.4</v>
      </c>
      <c r="D22" s="8">
        <f>IF(ISNUMBER(BidScale!B22),IF(AND(BidScale!B22&gt;Lower,BidScale!B22&lt;Upper,ROUND(BidScale!B22,4)&gt;=Lower,ROUND(BidScale!B22,4)&lt;=Upper),ROUND(BidScale!B22,4),""),"")</f>
        <v>37.5</v>
      </c>
      <c r="E22" s="7">
        <f>IF(ISNUMBER(BidScale!C22),IF(AND(BidScale!C22&gt;Lower,BidScale!C22&lt;Upper,ROUND(BidScale!C22-0.1,4)&gt;=Lower,ROUND(BidScale!C22-0.1,4)&lt;=Upper),ROUND(BidScale!C22-0.1,4),""),"")</f>
        <v>47.4</v>
      </c>
      <c r="F22" s="8">
        <f>IF(ISNUMBER(BidScale!C22),IF(AND(BidScale!C22&gt;Lower,BidScale!C22&lt;Upper,ROUND(BidScale!C22,4)&gt;=Lower,ROUND(BidScale!C22,4)&lt;=Upper),ROUND(BidScale!C22,4),""),"")</f>
        <v>47.5</v>
      </c>
      <c r="G22" s="9">
        <f>IF(ISNUMBER(BidScale!D22),IF(AND(BidScale!D22&gt;Lower,BidScale!D22&lt;Upper,ROUND(BidScale!D22,4)&gt;=Lower,ROUND(BidScale!D22,4)&lt;=Upper),ROUND(BidScale!D22,4),""),"")</f>
        <v>57.5</v>
      </c>
      <c r="H22" s="10">
        <f>IF(ISNUMBER(BidScale!D22),IF(AND(BidScale!D22&gt;Lower,BidScale!D22&lt;Upper,ROUND(BidScale!D22+0.1,4)&gt;=Lower,ROUND(BidScale!D22+0.1,4)&lt;=Upper),ROUND(BidScale!D22+0.1,4),""),"")</f>
        <v>57.6</v>
      </c>
      <c r="I22" s="9">
        <f>IF(ISNUMBER(BidScale!E22),IF(AND(BidScale!E22&gt;Lower,BidScale!E22&lt;Upper,ROUND(BidScale!E22,4)&gt;=Lower,ROUND(BidScale!E22,4)&lt;=Upper),ROUND(BidScale!E22,4),""),"")</f>
        <v>67.5</v>
      </c>
      <c r="J22" s="10">
        <f>IF(ISNUMBER(BidScale!E22),IF(AND(BidScale!E22&gt;Lower,BidScale!E22&lt;Upper,ROUND(BidScale!E22+0.1,4)&gt;=Lower,ROUND(BidScale!E22+0.1,4)&lt;=Upper),ROUND(BidScale!E22+0.1,4),""),"")</f>
        <v>67.599999999999994</v>
      </c>
      <c r="K22" s="9">
        <f>IF(ISNUMBER(BidScale!F22),IF(AND(BidScale!F22&gt;Lower,BidScale!F22&lt;Upper,ROUND(BidScale!F22,4)&gt;=Lower,ROUND(BidScale!F22,4)&lt;=Upper),ROUND(BidScale!F22,4),""),"")</f>
        <v>77.5</v>
      </c>
      <c r="L22" s="10">
        <f>IF(ISNUMBER(BidScale!F22),IF(AND(BidScale!F22&gt;Lower,BidScale!F22&lt;Upper,ROUND(BidScale!F22+0.1,4)&gt;=Lower,ROUND(BidScale!F22+0.1,4)&lt;=Upper),ROUND(BidScale!F22+0.1,4),""),"")</f>
        <v>77.599999999999994</v>
      </c>
    </row>
    <row r="23" spans="1:12">
      <c r="A23" s="7">
        <f>IF(ISNUMBER(BidScale!A23),IF(AND(BidScale!A23&gt;Lower,BidScale!A23&lt;Upper,ROUND(BidScale!A23-0.1,4)&gt;=Lower,ROUND(BidScale!A23-0.1,4)&lt;=Upper),ROUND(BidScale!A23-0.1,4),""),"")</f>
        <v>32.4</v>
      </c>
      <c r="B23" s="8">
        <f>IF(ISNUMBER(BidScale!A23),IF(AND(BidScale!A23&gt;Lower,BidScale!A23&lt;Upper,ROUND(BidScale!A23,4)&gt;=Lower,ROUND(BidScale!A23,4)&lt;=Upper),ROUND(BidScale!A23,4),""),"")</f>
        <v>32.5</v>
      </c>
      <c r="C23" s="7">
        <f>IF(ISNUMBER(BidScale!B23),IF(AND(BidScale!B23&gt;Lower,BidScale!B23&lt;Upper,ROUND(BidScale!B23-0.1,4)&gt;=Lower,ROUND(BidScale!B23-0.1,4)&lt;=Upper),ROUND(BidScale!B23-0.1,4),""),"")</f>
        <v>42.4</v>
      </c>
      <c r="D23" s="8">
        <f>IF(ISNUMBER(BidScale!B23),IF(AND(BidScale!B23&gt;Lower,BidScale!B23&lt;Upper,ROUND(BidScale!B23,4)&gt;=Lower,ROUND(BidScale!B23,4)&lt;=Upper),ROUND(BidScale!B23,4),""),"")</f>
        <v>42.5</v>
      </c>
      <c r="E23" s="7">
        <f>IF(ISNUMBER(BidScale!C23),IF(AND(BidScale!C23&gt;Lower,BidScale!C23&lt;Upper,ROUND(BidScale!C23-0.1,4)&gt;=Lower,ROUND(BidScale!C23-0.1,4)&lt;=Upper),ROUND(BidScale!C23-0.1,4),""),"")</f>
        <v>52.4</v>
      </c>
      <c r="F23" s="8">
        <f>IF(ISNUMBER(BidScale!C23),IF(AND(BidScale!C23&gt;Lower,BidScale!C23&lt;Upper,ROUND(BidScale!C23,4)&gt;=Lower,ROUND(BidScale!C23,4)&lt;=Upper),ROUND(BidScale!C23,4),""),"")</f>
        <v>52.5</v>
      </c>
      <c r="G23" s="9">
        <f>IF(ISNUMBER(BidScale!D23),IF(AND(BidScale!D23&gt;Lower,BidScale!D23&lt;Upper,ROUND(BidScale!D23,4)&gt;=Lower,ROUND(BidScale!D23,4)&lt;=Upper),ROUND(BidScale!D23,4),""),"")</f>
        <v>62.5</v>
      </c>
      <c r="H23" s="10">
        <f>IF(ISNUMBER(BidScale!D23),IF(AND(BidScale!D23&gt;Lower,BidScale!D23&lt;Upper,ROUND(BidScale!D23+0.1,4)&gt;=Lower,ROUND(BidScale!D23+0.1,4)&lt;=Upper),ROUND(BidScale!D23+0.1,4),""),"")</f>
        <v>62.6</v>
      </c>
      <c r="I23" s="9">
        <f>IF(ISNUMBER(BidScale!E23),IF(AND(BidScale!E23&gt;Lower,BidScale!E23&lt;Upper,ROUND(BidScale!E23,4)&gt;=Lower,ROUND(BidScale!E23,4)&lt;=Upper),ROUND(BidScale!E23,4),""),"")</f>
        <v>72.5</v>
      </c>
      <c r="J23" s="10">
        <f>IF(ISNUMBER(BidScale!E23),IF(AND(BidScale!E23&gt;Lower,BidScale!E23&lt;Upper,ROUND(BidScale!E23+0.1,4)&gt;=Lower,ROUND(BidScale!E23+0.1,4)&lt;=Upper),ROUND(BidScale!E23+0.1,4),""),"")</f>
        <v>72.599999999999994</v>
      </c>
      <c r="K23" s="9">
        <f>IF(ISNUMBER(BidScale!F23),IF(AND(BidScale!F23&gt;Lower,BidScale!F23&lt;Upper,ROUND(BidScale!F23,4)&gt;=Lower,ROUND(BidScale!F23,4)&lt;=Upper),ROUND(BidScale!F23,4),""),"")</f>
        <v>82.5</v>
      </c>
      <c r="L23" s="10">
        <f>IF(ISNUMBER(BidScale!F23),IF(AND(BidScale!F23&gt;Lower,BidScale!F23&lt;Upper,ROUND(BidScale!F23+0.1,4)&gt;=Lower,ROUND(BidScale!F23+0.1,4)&lt;=Upper),ROUND(BidScale!F23+0.1,4),""),"")</f>
        <v>82.6</v>
      </c>
    </row>
    <row r="24" spans="1:12">
      <c r="A24" s="7">
        <f>IF(ISNUMBER(BidScale!A24),IF(AND(BidScale!A24&gt;Lower,BidScale!A24&lt;Upper,ROUND(BidScale!A24-0.1,4)&gt;=Lower,ROUND(BidScale!A24-0.1,4)&lt;=Upper),ROUND(BidScale!A24-0.1,4),""),"")</f>
        <v>32.4</v>
      </c>
      <c r="B24" s="8">
        <f>IF(ISNUMBER(BidScale!A24),IF(AND(BidScale!A24&gt;Lower,BidScale!A24&lt;Upper,ROUND(BidScale!A24,4)&gt;=Lower,ROUND(BidScale!A24,4)&lt;=Upper),ROUND(BidScale!A24,4),""),"")</f>
        <v>32.5</v>
      </c>
      <c r="C24" s="7">
        <f>IF(ISNUMBER(BidScale!B24),IF(AND(BidScale!B24&gt;Lower,BidScale!B24&lt;Upper,ROUND(BidScale!B24-0.1,4)&gt;=Lower,ROUND(BidScale!B24-0.1,4)&lt;=Upper),ROUND(BidScale!B24-0.1,4),""),"")</f>
        <v>42.4</v>
      </c>
      <c r="D24" s="8">
        <f>IF(ISNUMBER(BidScale!B24),IF(AND(BidScale!B24&gt;Lower,BidScale!B24&lt;Upper,ROUND(BidScale!B24,4)&gt;=Lower,ROUND(BidScale!B24,4)&lt;=Upper),ROUND(BidScale!B24,4),""),"")</f>
        <v>42.5</v>
      </c>
      <c r="E24" s="7">
        <f>IF(ISNUMBER(BidScale!C24),IF(AND(BidScale!C24&gt;Lower,BidScale!C24&lt;Upper,ROUND(BidScale!C24-0.1,4)&gt;=Lower,ROUND(BidScale!C24-0.1,4)&lt;=Upper),ROUND(BidScale!C24-0.1,4),""),"")</f>
        <v>52.4</v>
      </c>
      <c r="F24" s="8">
        <f>IF(ISNUMBER(BidScale!C24),IF(AND(BidScale!C24&gt;Lower,BidScale!C24&lt;Upper,ROUND(BidScale!C24,4)&gt;=Lower,ROUND(BidScale!C24,4)&lt;=Upper),ROUND(BidScale!C24,4),""),"")</f>
        <v>52.5</v>
      </c>
      <c r="G24" s="9">
        <f>IF(ISNUMBER(BidScale!D24),IF(AND(BidScale!D24&gt;Lower,BidScale!D24&lt;Upper,ROUND(BidScale!D24,4)&gt;=Lower,ROUND(BidScale!D24,4)&lt;=Upper),ROUND(BidScale!D24,4),""),"")</f>
        <v>62.5</v>
      </c>
      <c r="H24" s="10">
        <f>IF(ISNUMBER(BidScale!D24),IF(AND(BidScale!D24&gt;Lower,BidScale!D24&lt;Upper,ROUND(BidScale!D24+0.1,4)&gt;=Lower,ROUND(BidScale!D24+0.1,4)&lt;=Upper),ROUND(BidScale!D24+0.1,4),""),"")</f>
        <v>62.6</v>
      </c>
      <c r="I24" s="9">
        <f>IF(ISNUMBER(BidScale!E24),IF(AND(BidScale!E24&gt;Lower,BidScale!E24&lt;Upper,ROUND(BidScale!E24,4)&gt;=Lower,ROUND(BidScale!E24,4)&lt;=Upper),ROUND(BidScale!E24,4),""),"")</f>
        <v>72.5</v>
      </c>
      <c r="J24" s="10">
        <f>IF(ISNUMBER(BidScale!E24),IF(AND(BidScale!E24&gt;Lower,BidScale!E24&lt;Upper,ROUND(BidScale!E24+0.1,4)&gt;=Lower,ROUND(BidScale!E24+0.1,4)&lt;=Upper),ROUND(BidScale!E24+0.1,4),""),"")</f>
        <v>72.599999999999994</v>
      </c>
      <c r="K24" s="9">
        <f>IF(ISNUMBER(BidScale!F24),IF(AND(BidScale!F24&gt;Lower,BidScale!F24&lt;Upper,ROUND(BidScale!F24,4)&gt;=Lower,ROUND(BidScale!F24,4)&lt;=Upper),ROUND(BidScale!F24,4),""),"")</f>
        <v>82.5</v>
      </c>
      <c r="L24" s="10">
        <f>IF(ISNUMBER(BidScale!F24),IF(AND(BidScale!F24&gt;Lower,BidScale!F24&lt;Upper,ROUND(BidScale!F24+0.1,4)&gt;=Lower,ROUND(BidScale!F24+0.1,4)&lt;=Upper),ROUND(BidScale!F24+0.1,4),""),"")</f>
        <v>82.6</v>
      </c>
    </row>
    <row r="25" spans="1:12">
      <c r="A25" s="7">
        <f>IF(ISNUMBER(BidScale!A25),IF(AND(BidScale!A25&gt;Lower,BidScale!A25&lt;Upper,ROUND(BidScale!A25-0.1,4)&gt;=Lower,ROUND(BidScale!A25-0.1,4)&lt;=Upper),ROUND(BidScale!A25-0.1,4),""),"")</f>
        <v>29.9</v>
      </c>
      <c r="B25" s="8">
        <f>IF(ISNUMBER(BidScale!A25),IF(AND(BidScale!A25&gt;Lower,BidScale!A25&lt;Upper,ROUND(BidScale!A25,4)&gt;=Lower,ROUND(BidScale!A25,4)&lt;=Upper),ROUND(BidScale!A25,4),""),"")</f>
        <v>30</v>
      </c>
      <c r="C25" s="7">
        <f>IF(ISNUMBER(BidScale!B25),IF(AND(BidScale!B25&gt;Lower,BidScale!B25&lt;Upper,ROUND(BidScale!B25-0.1,4)&gt;=Lower,ROUND(BidScale!B25-0.1,4)&lt;=Upper),ROUND(BidScale!B25-0.1,4),""),"")</f>
        <v>39.9</v>
      </c>
      <c r="D25" s="8">
        <f>IF(ISNUMBER(BidScale!B25),IF(AND(BidScale!B25&gt;Lower,BidScale!B25&lt;Upper,ROUND(BidScale!B25,4)&gt;=Lower,ROUND(BidScale!B25,4)&lt;=Upper),ROUND(BidScale!B25,4),""),"")</f>
        <v>40</v>
      </c>
      <c r="E25" s="7">
        <f>IF(ISNUMBER(BidScale!C25),IF(AND(BidScale!C25&gt;Lower,BidScale!C25&lt;Upper,ROUND(BidScale!C25-0.1,4)&gt;=Lower,ROUND(BidScale!C25-0.1,4)&lt;=Upper),ROUND(BidScale!C25-0.1,4),""),"")</f>
        <v>49.9</v>
      </c>
      <c r="F25" s="8">
        <f>IF(ISNUMBER(BidScale!C25),IF(AND(BidScale!C25&gt;Lower,BidScale!C25&lt;Upper,ROUND(BidScale!C25,4)&gt;=Lower,ROUND(BidScale!C25,4)&lt;=Upper),ROUND(BidScale!C25,4),""),"")</f>
        <v>50</v>
      </c>
      <c r="G25" s="9">
        <f>IF(ISNUMBER(BidScale!D25),IF(AND(BidScale!D25&gt;Lower,BidScale!D25&lt;Upper,ROUND(BidScale!D25,4)&gt;=Lower,ROUND(BidScale!D25,4)&lt;=Upper),ROUND(BidScale!D25,4),""),"")</f>
        <v>60</v>
      </c>
      <c r="H25" s="10">
        <f>IF(ISNUMBER(BidScale!D25),IF(AND(BidScale!D25&gt;Lower,BidScale!D25&lt;Upper,ROUND(BidScale!D25+0.1,4)&gt;=Lower,ROUND(BidScale!D25+0.1,4)&lt;=Upper),ROUND(BidScale!D25+0.1,4),""),"")</f>
        <v>60.1</v>
      </c>
      <c r="I25" s="9">
        <f>IF(ISNUMBER(BidScale!E25),IF(AND(BidScale!E25&gt;Lower,BidScale!E25&lt;Upper,ROUND(BidScale!E25,4)&gt;=Lower,ROUND(BidScale!E25,4)&lt;=Upper),ROUND(BidScale!E25,4),""),"")</f>
        <v>70</v>
      </c>
      <c r="J25" s="10">
        <f>IF(ISNUMBER(BidScale!E25),IF(AND(BidScale!E25&gt;Lower,BidScale!E25&lt;Upper,ROUND(BidScale!E25+0.1,4)&gt;=Lower,ROUND(BidScale!E25+0.1,4)&lt;=Upper),ROUND(BidScale!E25+0.1,4),""),"")</f>
        <v>70.099999999999994</v>
      </c>
      <c r="K25" s="9">
        <f>IF(ISNUMBER(BidScale!F25),IF(AND(BidScale!F25&gt;Lower,BidScale!F25&lt;Upper,ROUND(BidScale!F25,4)&gt;=Lower,ROUND(BidScale!F25,4)&lt;=Upper),ROUND(BidScale!F25,4),""),"")</f>
        <v>80</v>
      </c>
      <c r="L25" s="10">
        <f>IF(ISNUMBER(BidScale!F25),IF(AND(BidScale!F25&gt;Lower,BidScale!F25&lt;Upper,ROUND(BidScale!F25+0.1,4)&gt;=Lower,ROUND(BidScale!F25+0.1,4)&lt;=Upper),ROUND(BidScale!F25+0.1,4),""),"")</f>
        <v>80.099999999999994</v>
      </c>
    </row>
    <row r="26" spans="1:12">
      <c r="A26" s="7">
        <f>IF(ISNUMBER(BidScale!A26),IF(AND(BidScale!A26&gt;Lower,BidScale!A26&lt;Upper,ROUND(BidScale!A26-0.1,4)&gt;=Lower,ROUND(BidScale!A26-0.1,4)&lt;=Upper),ROUND(BidScale!A26-0.1,4),""),"")</f>
        <v>34.9</v>
      </c>
      <c r="B26" s="8">
        <f>IF(ISNUMBER(BidScale!A26),IF(AND(BidScale!A26&gt;Lower,BidScale!A26&lt;Upper,ROUND(BidScale!A26,4)&gt;=Lower,ROUND(BidScale!A26,4)&lt;=Upper),ROUND(BidScale!A26,4),""),"")</f>
        <v>35</v>
      </c>
      <c r="C26" s="7">
        <f>IF(ISNUMBER(BidScale!B26),IF(AND(BidScale!B26&gt;Lower,BidScale!B26&lt;Upper,ROUND(BidScale!B26-0.1,4)&gt;=Lower,ROUND(BidScale!B26-0.1,4)&lt;=Upper),ROUND(BidScale!B26-0.1,4),""),"")</f>
        <v>44.9</v>
      </c>
      <c r="D26" s="8">
        <f>IF(ISNUMBER(BidScale!B26),IF(AND(BidScale!B26&gt;Lower,BidScale!B26&lt;Upper,ROUND(BidScale!B26,4)&gt;=Lower,ROUND(BidScale!B26,4)&lt;=Upper),ROUND(BidScale!B26,4),""),"")</f>
        <v>45</v>
      </c>
      <c r="E26" s="7">
        <f>IF(ISNUMBER(BidScale!C26),IF(AND(BidScale!C26&gt;Lower,BidScale!C26&lt;Upper,ROUND(BidScale!C26-0.1,4)&gt;=Lower,ROUND(BidScale!C26-0.1,4)&lt;=Upper),ROUND(BidScale!C26-0.1,4),""),"")</f>
        <v>54.9</v>
      </c>
      <c r="F26" s="8">
        <f>IF(ISNUMBER(BidScale!C26),IF(AND(BidScale!C26&gt;Lower,BidScale!C26&lt;Upper,ROUND(BidScale!C26,4)&gt;=Lower,ROUND(BidScale!C26,4)&lt;=Upper),ROUND(BidScale!C26,4),""),"")</f>
        <v>55</v>
      </c>
      <c r="G26" s="9">
        <f>IF(ISNUMBER(BidScale!D26),IF(AND(BidScale!D26&gt;Lower,BidScale!D26&lt;Upper,ROUND(BidScale!D26,4)&gt;=Lower,ROUND(BidScale!D26,4)&lt;=Upper),ROUND(BidScale!D26,4),""),"")</f>
        <v>65</v>
      </c>
      <c r="H26" s="10">
        <f>IF(ISNUMBER(BidScale!D26),IF(AND(BidScale!D26&gt;Lower,BidScale!D26&lt;Upper,ROUND(BidScale!D26+0.1,4)&gt;=Lower,ROUND(BidScale!D26+0.1,4)&lt;=Upper),ROUND(BidScale!D26+0.1,4),""),"")</f>
        <v>65.099999999999994</v>
      </c>
      <c r="I26" s="9">
        <f>IF(ISNUMBER(BidScale!E26),IF(AND(BidScale!E26&gt;Lower,BidScale!E26&lt;Upper,ROUND(BidScale!E26,4)&gt;=Lower,ROUND(BidScale!E26,4)&lt;=Upper),ROUND(BidScale!E26,4),""),"")</f>
        <v>75</v>
      </c>
      <c r="J26" s="10">
        <f>IF(ISNUMBER(BidScale!E26),IF(AND(BidScale!E26&gt;Lower,BidScale!E26&lt;Upper,ROUND(BidScale!E26+0.1,4)&gt;=Lower,ROUND(BidScale!E26+0.1,4)&lt;=Upper),ROUND(BidScale!E26+0.1,4),""),"")</f>
        <v>75.099999999999994</v>
      </c>
      <c r="K26" s="9">
        <f>IF(ISNUMBER(BidScale!F26),IF(AND(BidScale!F26&gt;Lower,BidScale!F26&lt;Upper,ROUND(BidScale!F26,4)&gt;=Lower,ROUND(BidScale!F26,4)&lt;=Upper),ROUND(BidScale!F26,4),""),"")</f>
        <v>85</v>
      </c>
      <c r="L26" s="10">
        <f>IF(ISNUMBER(BidScale!F26),IF(AND(BidScale!F26&gt;Lower,BidScale!F26&lt;Upper,ROUND(BidScale!F26+0.1,4)&gt;=Lower,ROUND(BidScale!F26+0.1,4)&lt;=Upper),ROUND(BidScale!F26+0.1,4),""),"")</f>
        <v>85.1</v>
      </c>
    </row>
    <row r="27" spans="1:12">
      <c r="A27" s="7">
        <f>IF(ISNUMBER(BidScale!A27),IF(AND(BidScale!A27&gt;Lower,BidScale!A27&lt;Upper,ROUND(BidScale!A27-0.1,4)&gt;=Lower,ROUND(BidScale!A27-0.1,4)&lt;=Upper),ROUND(BidScale!A27-0.1,4),""),"")</f>
        <v>39.9</v>
      </c>
      <c r="B27" s="8">
        <f>IF(ISNUMBER(BidScale!A27),IF(AND(BidScale!A27&gt;Lower,BidScale!A27&lt;Upper,ROUND(BidScale!A27,4)&gt;=Lower,ROUND(BidScale!A27,4)&lt;=Upper),ROUND(BidScale!A27,4),""),"")</f>
        <v>40</v>
      </c>
      <c r="C27" s="7">
        <f>IF(ISNUMBER(BidScale!B27),IF(AND(BidScale!B27&gt;Lower,BidScale!B27&lt;Upper,ROUND(BidScale!B27-0.1,4)&gt;=Lower,ROUND(BidScale!B27-0.1,4)&lt;=Upper),ROUND(BidScale!B27-0.1,4),""),"")</f>
        <v>49.9</v>
      </c>
      <c r="D27" s="8">
        <f>IF(ISNUMBER(BidScale!B27),IF(AND(BidScale!B27&gt;Lower,BidScale!B27&lt;Upper,ROUND(BidScale!B27,4)&gt;=Lower,ROUND(BidScale!B27,4)&lt;=Upper),ROUND(BidScale!B27,4),""),"")</f>
        <v>50</v>
      </c>
      <c r="E27" s="7">
        <f>IF(ISNUMBER(BidScale!C27),IF(AND(BidScale!C27&gt;Lower,BidScale!C27&lt;Upper,ROUND(BidScale!C27-0.1,4)&gt;=Lower,ROUND(BidScale!C27-0.1,4)&lt;=Upper),ROUND(BidScale!C27-0.1,4),""),"")</f>
        <v>59.9</v>
      </c>
      <c r="F27" s="8">
        <f>IF(ISNUMBER(BidScale!C27),IF(AND(BidScale!C27&gt;Lower,BidScale!C27&lt;Upper,ROUND(BidScale!C27,4)&gt;=Lower,ROUND(BidScale!C27,4)&lt;=Upper),ROUND(BidScale!C27,4),""),"")</f>
        <v>60</v>
      </c>
      <c r="G27" s="9">
        <f>IF(ISNUMBER(BidScale!D27),IF(AND(BidScale!D27&gt;Lower,BidScale!D27&lt;Upper,ROUND(BidScale!D27,4)&gt;=Lower,ROUND(BidScale!D27,4)&lt;=Upper),ROUND(BidScale!D27,4),""),"")</f>
        <v>70</v>
      </c>
      <c r="H27" s="10">
        <f>IF(ISNUMBER(BidScale!D27),IF(AND(BidScale!D27&gt;Lower,BidScale!D27&lt;Upper,ROUND(BidScale!D27+0.1,4)&gt;=Lower,ROUND(BidScale!D27+0.1,4)&lt;=Upper),ROUND(BidScale!D27+0.1,4),""),"")</f>
        <v>70.099999999999994</v>
      </c>
      <c r="I27" s="9">
        <f>IF(ISNUMBER(BidScale!E27),IF(AND(BidScale!E27&gt;Lower,BidScale!E27&lt;Upper,ROUND(BidScale!E27,4)&gt;=Lower,ROUND(BidScale!E27,4)&lt;=Upper),ROUND(BidScale!E27,4),""),"")</f>
        <v>80</v>
      </c>
      <c r="J27" s="10">
        <f>IF(ISNUMBER(BidScale!E27),IF(AND(BidScale!E27&gt;Lower,BidScale!E27&lt;Upper,ROUND(BidScale!E27+0.1,4)&gt;=Lower,ROUND(BidScale!E27+0.1,4)&lt;=Upper),ROUND(BidScale!E27+0.1,4),""),"")</f>
        <v>80.099999999999994</v>
      </c>
      <c r="K27" s="9">
        <f>IF(ISNUMBER(BidScale!F27),IF(AND(BidScale!F27&gt;Lower,BidScale!F27&lt;Upper,ROUND(BidScale!F27,4)&gt;=Lower,ROUND(BidScale!F27,4)&lt;=Upper),ROUND(BidScale!F27,4),""),"")</f>
        <v>90</v>
      </c>
      <c r="L27" s="10">
        <f>IF(ISNUMBER(BidScale!F27),IF(AND(BidScale!F27&gt;Lower,BidScale!F27&lt;Upper,ROUND(BidScale!F27+0.1,4)&gt;=Lower,ROUND(BidScale!F27+0.1,4)&lt;=Upper),ROUND(BidScale!F27+0.1,4),""),"")</f>
        <v>90.1</v>
      </c>
    </row>
    <row r="28" spans="1:12">
      <c r="A28" s="7">
        <f>IF(ISNUMBER(BidScale!A28),IF(AND(BidScale!A28&gt;Lower,BidScale!A28&lt;Upper,ROUND(BidScale!A28-0.1,4)&gt;=Lower,ROUND(BidScale!A28-0.1,4)&lt;=Upper),ROUND(BidScale!A28-0.1,4),""),"")</f>
        <v>39.9</v>
      </c>
      <c r="B28" s="8">
        <f>IF(ISNUMBER(BidScale!A28),IF(AND(BidScale!A28&gt;Lower,BidScale!A28&lt;Upper,ROUND(BidScale!A28,4)&gt;=Lower,ROUND(BidScale!A28,4)&lt;=Upper),ROUND(BidScale!A28,4),""),"")</f>
        <v>40</v>
      </c>
      <c r="C28" s="7">
        <f>IF(ISNUMBER(BidScale!B28),IF(AND(BidScale!B28&gt;Lower,BidScale!B28&lt;Upper,ROUND(BidScale!B28-0.1,4)&gt;=Lower,ROUND(BidScale!B28-0.1,4)&lt;=Upper),ROUND(BidScale!B28-0.1,4),""),"")</f>
        <v>49.9</v>
      </c>
      <c r="D28" s="8">
        <f>IF(ISNUMBER(BidScale!B28),IF(AND(BidScale!B28&gt;Lower,BidScale!B28&lt;Upper,ROUND(BidScale!B28,4)&gt;=Lower,ROUND(BidScale!B28,4)&lt;=Upper),ROUND(BidScale!B28,4),""),"")</f>
        <v>50</v>
      </c>
      <c r="E28" s="7">
        <f>IF(ISNUMBER(BidScale!C28),IF(AND(BidScale!C28&gt;Lower,BidScale!C28&lt;Upper,ROUND(BidScale!C28-0.1,4)&gt;=Lower,ROUND(BidScale!C28-0.1,4)&lt;=Upper),ROUND(BidScale!C28-0.1,4),""),"")</f>
        <v>59.9</v>
      </c>
      <c r="F28" s="8">
        <f>IF(ISNUMBER(BidScale!C28),IF(AND(BidScale!C28&gt;Lower,BidScale!C28&lt;Upper,ROUND(BidScale!C28,4)&gt;=Lower,ROUND(BidScale!C28,4)&lt;=Upper),ROUND(BidScale!C28,4),""),"")</f>
        <v>60</v>
      </c>
      <c r="G28" s="9">
        <f>IF(ISNUMBER(BidScale!D28),IF(AND(BidScale!D28&gt;Lower,BidScale!D28&lt;Upper,ROUND(BidScale!D28,4)&gt;=Lower,ROUND(BidScale!D28,4)&lt;=Upper),ROUND(BidScale!D28,4),""),"")</f>
        <v>70</v>
      </c>
      <c r="H28" s="10">
        <f>IF(ISNUMBER(BidScale!D28),IF(AND(BidScale!D28&gt;Lower,BidScale!D28&lt;Upper,ROUND(BidScale!D28+0.1,4)&gt;=Lower,ROUND(BidScale!D28+0.1,4)&lt;=Upper),ROUND(BidScale!D28+0.1,4),""),"")</f>
        <v>70.099999999999994</v>
      </c>
      <c r="I28" s="9">
        <f>IF(ISNUMBER(BidScale!E28),IF(AND(BidScale!E28&gt;Lower,BidScale!E28&lt;Upper,ROUND(BidScale!E28,4)&gt;=Lower,ROUND(BidScale!E28,4)&lt;=Upper),ROUND(BidScale!E28,4),""),"")</f>
        <v>80</v>
      </c>
      <c r="J28" s="10">
        <f>IF(ISNUMBER(BidScale!E28),IF(AND(BidScale!E28&gt;Lower,BidScale!E28&lt;Upper,ROUND(BidScale!E28+0.1,4)&gt;=Lower,ROUND(BidScale!E28+0.1,4)&lt;=Upper),ROUND(BidScale!E28+0.1,4),""),"")</f>
        <v>80.099999999999994</v>
      </c>
      <c r="K28" s="9">
        <f>IF(ISNUMBER(BidScale!F28),IF(AND(BidScale!F28&gt;Lower,BidScale!F28&lt;Upper,ROUND(BidScale!F28,4)&gt;=Lower,ROUND(BidScale!F28,4)&lt;=Upper),ROUND(BidScale!F28,4),""),"")</f>
        <v>90</v>
      </c>
      <c r="L28" s="10">
        <f>IF(ISNUMBER(BidScale!F28),IF(AND(BidScale!F28&gt;Lower,BidScale!F28&lt;Upper,ROUND(BidScale!F28+0.1,4)&gt;=Lower,ROUND(BidScale!F28+0.1,4)&lt;=Upper),ROUND(BidScale!F28+0.1,4),""),"")</f>
        <v>90.1</v>
      </c>
    </row>
    <row r="29" spans="1:12">
      <c r="A29" s="7">
        <f>IF(ISNUMBER(BidScale!A29),IF(AND(BidScale!A29&gt;Lower,BidScale!A29&lt;Upper,ROUND(BidScale!A29-0.1,4)&gt;=Lower,ROUND(BidScale!A29-0.1,4)&lt;=Upper),ROUND(BidScale!A29-0.1,4),""),"")</f>
        <v>39.9</v>
      </c>
      <c r="B29" s="8">
        <f>IF(ISNUMBER(BidScale!A29),IF(AND(BidScale!A29&gt;Lower,BidScale!A29&lt;Upper,ROUND(BidScale!A29,4)&gt;=Lower,ROUND(BidScale!A29,4)&lt;=Upper),ROUND(BidScale!A29,4),""),"")</f>
        <v>40</v>
      </c>
      <c r="C29" s="7">
        <f>IF(ISNUMBER(BidScale!B29),IF(AND(BidScale!B29&gt;Lower,BidScale!B29&lt;Upper,ROUND(BidScale!B29-0.1,4)&gt;=Lower,ROUND(BidScale!B29-0.1,4)&lt;=Upper),ROUND(BidScale!B29-0.1,4),""),"")</f>
        <v>49.9</v>
      </c>
      <c r="D29" s="8">
        <f>IF(ISNUMBER(BidScale!B29),IF(AND(BidScale!B29&gt;Lower,BidScale!B29&lt;Upper,ROUND(BidScale!B29,4)&gt;=Lower,ROUND(BidScale!B29,4)&lt;=Upper),ROUND(BidScale!B29,4),""),"")</f>
        <v>50</v>
      </c>
      <c r="E29" s="7">
        <f>IF(ISNUMBER(BidScale!C29),IF(AND(BidScale!C29&gt;Lower,BidScale!C29&lt;Upper,ROUND(BidScale!C29-0.1,4)&gt;=Lower,ROUND(BidScale!C29-0.1,4)&lt;=Upper),ROUND(BidScale!C29-0.1,4),""),"")</f>
        <v>59.9</v>
      </c>
      <c r="F29" s="8">
        <f>IF(ISNUMBER(BidScale!C29),IF(AND(BidScale!C29&gt;Lower,BidScale!C29&lt;Upper,ROUND(BidScale!C29,4)&gt;=Lower,ROUND(BidScale!C29,4)&lt;=Upper),ROUND(BidScale!C29,4),""),"")</f>
        <v>60</v>
      </c>
      <c r="G29" s="9">
        <f>IF(ISNUMBER(BidScale!D29),IF(AND(BidScale!D29&gt;Lower,BidScale!D29&lt;Upper,ROUND(BidScale!D29,4)&gt;=Lower,ROUND(BidScale!D29,4)&lt;=Upper),ROUND(BidScale!D29,4),""),"")</f>
        <v>70</v>
      </c>
      <c r="H29" s="10">
        <f>IF(ISNUMBER(BidScale!D29),IF(AND(BidScale!D29&gt;Lower,BidScale!D29&lt;Upper,ROUND(BidScale!D29+0.1,4)&gt;=Lower,ROUND(BidScale!D29+0.1,4)&lt;=Upper),ROUND(BidScale!D29+0.1,4),""),"")</f>
        <v>70.099999999999994</v>
      </c>
      <c r="I29" s="9">
        <f>IF(ISNUMBER(BidScale!E29),IF(AND(BidScale!E29&gt;Lower,BidScale!E29&lt;Upper,ROUND(BidScale!E29,4)&gt;=Lower,ROUND(BidScale!E29,4)&lt;=Upper),ROUND(BidScale!E29,4),""),"")</f>
        <v>80</v>
      </c>
      <c r="J29" s="10">
        <f>IF(ISNUMBER(BidScale!E29),IF(AND(BidScale!E29&gt;Lower,BidScale!E29&lt;Upper,ROUND(BidScale!E29+0.1,4)&gt;=Lower,ROUND(BidScale!E29+0.1,4)&lt;=Upper),ROUND(BidScale!E29+0.1,4),""),"")</f>
        <v>80.099999999999994</v>
      </c>
      <c r="K29" s="9">
        <f>IF(ISNUMBER(BidScale!F29),IF(AND(BidScale!F29&gt;Lower,BidScale!F29&lt;Upper,ROUND(BidScale!F29,4)&gt;=Lower,ROUND(BidScale!F29,4)&lt;=Upper),ROUND(BidScale!F29,4),""),"")</f>
        <v>90</v>
      </c>
      <c r="L29" s="10">
        <f>IF(ISNUMBER(BidScale!F29),IF(AND(BidScale!F29&gt;Lower,BidScale!F29&lt;Upper,ROUND(BidScale!F29+0.1,4)&gt;=Lower,ROUND(BidScale!F29+0.1,4)&lt;=Upper),ROUND(BidScale!F29+0.1,4),""),"")</f>
        <v>90.1</v>
      </c>
    </row>
    <row r="30" spans="1:12">
      <c r="A30" s="7">
        <f>IF(ISNUMBER(BidScale!A30),IF(AND(BidScale!A30&gt;Lower,BidScale!A30&lt;Upper,ROUND(BidScale!A30-0.1,4)&gt;=Lower,ROUND(BidScale!A30-0.1,4)&lt;=Upper),ROUND(BidScale!A30-0.1,4),""),"")</f>
        <v>44.9</v>
      </c>
      <c r="B30" s="8">
        <f>IF(ISNUMBER(BidScale!A30),IF(AND(BidScale!A30&gt;Lower,BidScale!A30&lt;Upper,ROUND(BidScale!A30,4)&gt;=Lower,ROUND(BidScale!A30,4)&lt;=Upper),ROUND(BidScale!A30,4),""),"")</f>
        <v>45</v>
      </c>
      <c r="C30" s="7">
        <f>IF(ISNUMBER(BidScale!B30),IF(AND(BidScale!B30&gt;Lower,BidScale!B30&lt;Upper,ROUND(BidScale!B30-0.1,4)&gt;=Lower,ROUND(BidScale!B30-0.1,4)&lt;=Upper),ROUND(BidScale!B30-0.1,4),""),"")</f>
        <v>54.9</v>
      </c>
      <c r="D30" s="8">
        <f>IF(ISNUMBER(BidScale!B30),IF(AND(BidScale!B30&gt;Lower,BidScale!B30&lt;Upper,ROUND(BidScale!B30,4)&gt;=Lower,ROUND(BidScale!B30,4)&lt;=Upper),ROUND(BidScale!B30,4),""),"")</f>
        <v>55</v>
      </c>
      <c r="E30" s="7">
        <f>IF(ISNUMBER(BidScale!C30),IF(AND(BidScale!C30&gt;Lower,BidScale!C30&lt;Upper,ROUND(BidScale!C30-0.1,4)&gt;=Lower,ROUND(BidScale!C30-0.1,4)&lt;=Upper),ROUND(BidScale!C30-0.1,4),""),"")</f>
        <v>64.900000000000006</v>
      </c>
      <c r="F30" s="8">
        <f>IF(ISNUMBER(BidScale!C30),IF(AND(BidScale!C30&gt;Lower,BidScale!C30&lt;Upper,ROUND(BidScale!C30,4)&gt;=Lower,ROUND(BidScale!C30,4)&lt;=Upper),ROUND(BidScale!C30,4),""),"")</f>
        <v>65</v>
      </c>
      <c r="G30" s="9">
        <f>IF(ISNUMBER(BidScale!D30),IF(AND(BidScale!D30&gt;Lower,BidScale!D30&lt;Upper,ROUND(BidScale!D30,4)&gt;=Lower,ROUND(BidScale!D30,4)&lt;=Upper),ROUND(BidScale!D30,4),""),"")</f>
        <v>75</v>
      </c>
      <c r="H30" s="10">
        <f>IF(ISNUMBER(BidScale!D30),IF(AND(BidScale!D30&gt;Lower,BidScale!D30&lt;Upper,ROUND(BidScale!D30+0.1,4)&gt;=Lower,ROUND(BidScale!D30+0.1,4)&lt;=Upper),ROUND(BidScale!D30+0.1,4),""),"")</f>
        <v>75.099999999999994</v>
      </c>
      <c r="I30" s="9">
        <f>IF(ISNUMBER(BidScale!E30),IF(AND(BidScale!E30&gt;Lower,BidScale!E30&lt;Upper,ROUND(BidScale!E30,4)&gt;=Lower,ROUND(BidScale!E30,4)&lt;=Upper),ROUND(BidScale!E30,4),""),"")</f>
        <v>85</v>
      </c>
      <c r="J30" s="10">
        <f>IF(ISNUMBER(BidScale!E30),IF(AND(BidScale!E30&gt;Lower,BidScale!E30&lt;Upper,ROUND(BidScale!E30+0.1,4)&gt;=Lower,ROUND(BidScale!E30+0.1,4)&lt;=Upper),ROUND(BidScale!E30+0.1,4),""),"")</f>
        <v>85.1</v>
      </c>
      <c r="K30" s="9">
        <f>IF(ISNUMBER(BidScale!F30),IF(AND(BidScale!F30&gt;Lower,BidScale!F30&lt;Upper,ROUND(BidScale!F30,4)&gt;=Lower,ROUND(BidScale!F30,4)&lt;=Upper),ROUND(BidScale!F30,4),""),"")</f>
        <v>95</v>
      </c>
      <c r="L30" s="10">
        <f>IF(ISNUMBER(BidScale!F30),IF(AND(BidScale!F30&gt;Lower,BidScale!F30&lt;Upper,ROUND(BidScale!F30+0.1,4)&gt;=Lower,ROUND(BidScale!F30+0.1,4)&lt;=Upper),ROUND(BidScale!F30+0.1,4),""),"")</f>
        <v>95.1</v>
      </c>
    </row>
    <row r="31" spans="1:12">
      <c r="A31" s="7">
        <f>IF(ISNUMBER(BidScale!A31),IF(AND(BidScale!A31&gt;Lower,BidScale!A31&lt;Upper,ROUND(BidScale!A31-0.1,4)&gt;=Lower,ROUND(BidScale!A31-0.1,4)&lt;=Upper),ROUND(BidScale!A31-0.1,4),""),"")</f>
        <v>49.9</v>
      </c>
      <c r="B31" s="8">
        <f>IF(ISNUMBER(BidScale!A31),IF(AND(BidScale!A31&gt;Lower,BidScale!A31&lt;Upper,ROUND(BidScale!A31,4)&gt;=Lower,ROUND(BidScale!A31,4)&lt;=Upper),ROUND(BidScale!A31,4),""),"")</f>
        <v>50</v>
      </c>
      <c r="C31" s="7">
        <f>IF(ISNUMBER(BidScale!B31),IF(AND(BidScale!B31&gt;Lower,BidScale!B31&lt;Upper,ROUND(BidScale!B31-0.1,4)&gt;=Lower,ROUND(BidScale!B31-0.1,4)&lt;=Upper),ROUND(BidScale!B31-0.1,4),""),"")</f>
        <v>59.9</v>
      </c>
      <c r="D31" s="8">
        <f>IF(ISNUMBER(BidScale!B31),IF(AND(BidScale!B31&gt;Lower,BidScale!B31&lt;Upper,ROUND(BidScale!B31,4)&gt;=Lower,ROUND(BidScale!B31,4)&lt;=Upper),ROUND(BidScale!B31,4),""),"")</f>
        <v>60</v>
      </c>
      <c r="E31" s="7">
        <f>IF(ISNUMBER(BidScale!C31),IF(AND(BidScale!C31&gt;Lower,BidScale!C31&lt;Upper,ROUND(BidScale!C31-0.1,4)&gt;=Lower,ROUND(BidScale!C31-0.1,4)&lt;=Upper),ROUND(BidScale!C31-0.1,4),""),"")</f>
        <v>69.900000000000006</v>
      </c>
      <c r="F31" s="8">
        <f>IF(ISNUMBER(BidScale!C31),IF(AND(BidScale!C31&gt;Lower,BidScale!C31&lt;Upper,ROUND(BidScale!C31,4)&gt;=Lower,ROUND(BidScale!C31,4)&lt;=Upper),ROUND(BidScale!C31,4),""),"")</f>
        <v>70</v>
      </c>
      <c r="G31" s="9">
        <f>IF(ISNUMBER(BidScale!D31),IF(AND(BidScale!D31&gt;Lower,BidScale!D31&lt;Upper,ROUND(BidScale!D31,4)&gt;=Lower,ROUND(BidScale!D31,4)&lt;=Upper),ROUND(BidScale!D31,4),""),"")</f>
        <v>80</v>
      </c>
      <c r="H31" s="10">
        <f>IF(ISNUMBER(BidScale!D31),IF(AND(BidScale!D31&gt;Lower,BidScale!D31&lt;Upper,ROUND(BidScale!D31+0.1,4)&gt;=Lower,ROUND(BidScale!D31+0.1,4)&lt;=Upper),ROUND(BidScale!D31+0.1,4),""),"")</f>
        <v>80.099999999999994</v>
      </c>
      <c r="I31" s="9">
        <f>IF(ISNUMBER(BidScale!E31),IF(AND(BidScale!E31&gt;Lower,BidScale!E31&lt;Upper,ROUND(BidScale!E31,4)&gt;=Lower,ROUND(BidScale!E31,4)&lt;=Upper),ROUND(BidScale!E31,4),""),"")</f>
        <v>90</v>
      </c>
      <c r="J31" s="10">
        <f>IF(ISNUMBER(BidScale!E31),IF(AND(BidScale!E31&gt;Lower,BidScale!E31&lt;Upper,ROUND(BidScale!E31+0.1,4)&gt;=Lower,ROUND(BidScale!E31+0.1,4)&lt;=Upper),ROUND(BidScale!E31+0.1,4),""),"")</f>
        <v>90.1</v>
      </c>
      <c r="K31" s="9">
        <f>IF(ISNUMBER(BidScale!F31),IF(AND(BidScale!F31&gt;Lower,BidScale!F31&lt;Upper,ROUND(BidScale!F31,4)&gt;=Lower,ROUND(BidScale!F31,4)&lt;=Upper),ROUND(BidScale!F31,4),""),"")</f>
        <v>100</v>
      </c>
      <c r="L31" s="10">
        <f>IF(ISNUMBER(BidScale!F31),IF(AND(BidScale!F31&gt;Lower,BidScale!F31&lt;Upper,ROUND(BidScale!F31+0.1,4)&gt;=Lower,ROUND(BidScale!F31+0.1,4)&lt;=Upper),ROUND(BidScale!F31+0.1,4),""),"")</f>
        <v>100.1</v>
      </c>
    </row>
    <row r="32" spans="1:12">
      <c r="A32" s="7">
        <f>IF(ISNUMBER(BidScale!A32),IF(AND(BidScale!A32&gt;Lower,BidScale!A32&lt;Upper,ROUND(BidScale!A32-0.1,4)&gt;=Lower,ROUND(BidScale!A32-0.1,4)&lt;=Upper),ROUND(BidScale!A32-0.1,4),""),"")</f>
        <v>47.4</v>
      </c>
      <c r="B32" s="8">
        <f>IF(ISNUMBER(BidScale!A32),IF(AND(BidScale!A32&gt;Lower,BidScale!A32&lt;Upper,ROUND(BidScale!A32,4)&gt;=Lower,ROUND(BidScale!A32,4)&lt;=Upper),ROUND(BidScale!A32,4),""),"")</f>
        <v>47.5</v>
      </c>
      <c r="C32" s="7">
        <f>IF(ISNUMBER(BidScale!B32),IF(AND(BidScale!B32&gt;Lower,BidScale!B32&lt;Upper,ROUND(BidScale!B32-0.1,4)&gt;=Lower,ROUND(BidScale!B32-0.1,4)&lt;=Upper),ROUND(BidScale!B32-0.1,4),""),"")</f>
        <v>57.4</v>
      </c>
      <c r="D32" s="8">
        <f>IF(ISNUMBER(BidScale!B32),IF(AND(BidScale!B32&gt;Lower,BidScale!B32&lt;Upper,ROUND(BidScale!B32,4)&gt;=Lower,ROUND(BidScale!B32,4)&lt;=Upper),ROUND(BidScale!B32,4),""),"")</f>
        <v>57.5</v>
      </c>
      <c r="E32" s="7">
        <f>IF(ISNUMBER(BidScale!C32),IF(AND(BidScale!C32&gt;Lower,BidScale!C32&lt;Upper,ROUND(BidScale!C32-0.1,4)&gt;=Lower,ROUND(BidScale!C32-0.1,4)&lt;=Upper),ROUND(BidScale!C32-0.1,4),""),"")</f>
        <v>67.400000000000006</v>
      </c>
      <c r="F32" s="8">
        <f>IF(ISNUMBER(BidScale!C32),IF(AND(BidScale!C32&gt;Lower,BidScale!C32&lt;Upper,ROUND(BidScale!C32,4)&gt;=Lower,ROUND(BidScale!C32,4)&lt;=Upper),ROUND(BidScale!C32,4),""),"")</f>
        <v>67.5</v>
      </c>
      <c r="G32" s="9">
        <f>IF(ISNUMBER(BidScale!D32),IF(AND(BidScale!D32&gt;Lower,BidScale!D32&lt;Upper,ROUND(BidScale!D32,4)&gt;=Lower,ROUND(BidScale!D32,4)&lt;=Upper),ROUND(BidScale!D32,4),""),"")</f>
        <v>77.5</v>
      </c>
      <c r="H32" s="10">
        <f>IF(ISNUMBER(BidScale!D32),IF(AND(BidScale!D32&gt;Lower,BidScale!D32&lt;Upper,ROUND(BidScale!D32+0.1,4)&gt;=Lower,ROUND(BidScale!D32+0.1,4)&lt;=Upper),ROUND(BidScale!D32+0.1,4),""),"")</f>
        <v>77.599999999999994</v>
      </c>
      <c r="I32" s="9">
        <f>IF(ISNUMBER(BidScale!E32),IF(AND(BidScale!E32&gt;Lower,BidScale!E32&lt;Upper,ROUND(BidScale!E32,4)&gt;=Lower,ROUND(BidScale!E32,4)&lt;=Upper),ROUND(BidScale!E32,4),""),"")</f>
        <v>87.5</v>
      </c>
      <c r="J32" s="10">
        <f>IF(ISNUMBER(BidScale!E32),IF(AND(BidScale!E32&gt;Lower,BidScale!E32&lt;Upper,ROUND(BidScale!E32+0.1,4)&gt;=Lower,ROUND(BidScale!E32+0.1,4)&lt;=Upper),ROUND(BidScale!E32+0.1,4),""),"")</f>
        <v>87.6</v>
      </c>
      <c r="K32" s="9">
        <f>IF(ISNUMBER(BidScale!F32),IF(AND(BidScale!F32&gt;Lower,BidScale!F32&lt;Upper,ROUND(BidScale!F32,4)&gt;=Lower,ROUND(BidScale!F32,4)&lt;=Upper),ROUND(BidScale!F32,4),""),"")</f>
        <v>97.5</v>
      </c>
      <c r="L32" s="10">
        <f>IF(ISNUMBER(BidScale!F32),IF(AND(BidScale!F32&gt;Lower,BidScale!F32&lt;Upper,ROUND(BidScale!F32+0.1,4)&gt;=Lower,ROUND(BidScale!F32+0.1,4)&lt;=Upper),ROUND(BidScale!F32+0.1,4),""),"")</f>
        <v>97.6</v>
      </c>
    </row>
    <row r="33" spans="1:12">
      <c r="A33" s="7">
        <f>IF(ISNUMBER(BidScale!A33),IF(AND(BidScale!A33&gt;Lower,BidScale!A33&lt;Upper,ROUND(BidScale!A33-0.1,4)&gt;=Lower,ROUND(BidScale!A33-0.1,4)&lt;=Upper),ROUND(BidScale!A33-0.1,4),""),"")</f>
        <v>44.9</v>
      </c>
      <c r="B33" s="8">
        <f>IF(ISNUMBER(BidScale!A33),IF(AND(BidScale!A33&gt;Lower,BidScale!A33&lt;Upper,ROUND(BidScale!A33,4)&gt;=Lower,ROUND(BidScale!A33,4)&lt;=Upper),ROUND(BidScale!A33,4),""),"")</f>
        <v>45</v>
      </c>
      <c r="C33" s="7">
        <f>IF(ISNUMBER(BidScale!B33),IF(AND(BidScale!B33&gt;Lower,BidScale!B33&lt;Upper,ROUND(BidScale!B33-0.1,4)&gt;=Lower,ROUND(BidScale!B33-0.1,4)&lt;=Upper),ROUND(BidScale!B33-0.1,4),""),"")</f>
        <v>54.9</v>
      </c>
      <c r="D33" s="8">
        <f>IF(ISNUMBER(BidScale!B33),IF(AND(BidScale!B33&gt;Lower,BidScale!B33&lt;Upper,ROUND(BidScale!B33,4)&gt;=Lower,ROUND(BidScale!B33,4)&lt;=Upper),ROUND(BidScale!B33,4),""),"")</f>
        <v>55</v>
      </c>
      <c r="E33" s="7">
        <f>IF(ISNUMBER(BidScale!C33),IF(AND(BidScale!C33&gt;Lower,BidScale!C33&lt;Upper,ROUND(BidScale!C33-0.1,4)&gt;=Lower,ROUND(BidScale!C33-0.1,4)&lt;=Upper),ROUND(BidScale!C33-0.1,4),""),"")</f>
        <v>64.900000000000006</v>
      </c>
      <c r="F33" s="8">
        <f>IF(ISNUMBER(BidScale!C33),IF(AND(BidScale!C33&gt;Lower,BidScale!C33&lt;Upper,ROUND(BidScale!C33,4)&gt;=Lower,ROUND(BidScale!C33,4)&lt;=Upper),ROUND(BidScale!C33,4),""),"")</f>
        <v>65</v>
      </c>
      <c r="G33" s="9">
        <f>IF(ISNUMBER(BidScale!D33),IF(AND(BidScale!D33&gt;Lower,BidScale!D33&lt;Upper,ROUND(BidScale!D33,4)&gt;=Lower,ROUND(BidScale!D33,4)&lt;=Upper),ROUND(BidScale!D33,4),""),"")</f>
        <v>75</v>
      </c>
      <c r="H33" s="10">
        <f>IF(ISNUMBER(BidScale!D33),IF(AND(BidScale!D33&gt;Lower,BidScale!D33&lt;Upper,ROUND(BidScale!D33+0.1,4)&gt;=Lower,ROUND(BidScale!D33+0.1,4)&lt;=Upper),ROUND(BidScale!D33+0.1,4),""),"")</f>
        <v>75.099999999999994</v>
      </c>
      <c r="I33" s="9">
        <f>IF(ISNUMBER(BidScale!E33),IF(AND(BidScale!E33&gt;Lower,BidScale!E33&lt;Upper,ROUND(BidScale!E33,4)&gt;=Lower,ROUND(BidScale!E33,4)&lt;=Upper),ROUND(BidScale!E33,4),""),"")</f>
        <v>85</v>
      </c>
      <c r="J33" s="10">
        <f>IF(ISNUMBER(BidScale!E33),IF(AND(BidScale!E33&gt;Lower,BidScale!E33&lt;Upper,ROUND(BidScale!E33+0.1,4)&gt;=Lower,ROUND(BidScale!E33+0.1,4)&lt;=Upper),ROUND(BidScale!E33+0.1,4),""),"")</f>
        <v>85.1</v>
      </c>
      <c r="K33" s="9">
        <f>IF(ISNUMBER(BidScale!F33),IF(AND(BidScale!F33&gt;Lower,BidScale!F33&lt;Upper,ROUND(BidScale!F33,4)&gt;=Lower,ROUND(BidScale!F33,4)&lt;=Upper),ROUND(BidScale!F33,4),""),"")</f>
        <v>95</v>
      </c>
      <c r="L33" s="10">
        <f>IF(ISNUMBER(BidScale!F33),IF(AND(BidScale!F33&gt;Lower,BidScale!F33&lt;Upper,ROUND(BidScale!F33+0.1,4)&gt;=Lower,ROUND(BidScale!F33+0.1,4)&lt;=Upper),ROUND(BidScale!F33+0.1,4),""),"")</f>
        <v>95.1</v>
      </c>
    </row>
    <row r="34" spans="1:12">
      <c r="A34" s="7">
        <f>IF(ISNUMBER(BidScale!A34),IF(AND(BidScale!A34&gt;Lower,BidScale!A34&lt;Upper,ROUND(BidScale!A34-0.1,4)&gt;=Lower,ROUND(BidScale!A34-0.1,4)&lt;=Upper),ROUND(BidScale!A34-0.1,4),""),"")</f>
        <v>49.9</v>
      </c>
      <c r="B34" s="8">
        <f>IF(ISNUMBER(BidScale!A34),IF(AND(BidScale!A34&gt;Lower,BidScale!A34&lt;Upper,ROUND(BidScale!A34,4)&gt;=Lower,ROUND(BidScale!A34,4)&lt;=Upper),ROUND(BidScale!A34,4),""),"")</f>
        <v>50</v>
      </c>
      <c r="C34" s="7">
        <f>IF(ISNUMBER(BidScale!B34),IF(AND(BidScale!B34&gt;Lower,BidScale!B34&lt;Upper,ROUND(BidScale!B34-0.1,4)&gt;=Lower,ROUND(BidScale!B34-0.1,4)&lt;=Upper),ROUND(BidScale!B34-0.1,4),""),"")</f>
        <v>59.9</v>
      </c>
      <c r="D34" s="8">
        <f>IF(ISNUMBER(BidScale!B34),IF(AND(BidScale!B34&gt;Lower,BidScale!B34&lt;Upper,ROUND(BidScale!B34,4)&gt;=Lower,ROUND(BidScale!B34,4)&lt;=Upper),ROUND(BidScale!B34,4),""),"")</f>
        <v>60</v>
      </c>
      <c r="E34" s="7">
        <f>IF(ISNUMBER(BidScale!C34),IF(AND(BidScale!C34&gt;Lower,BidScale!C34&lt;Upper,ROUND(BidScale!C34-0.1,4)&gt;=Lower,ROUND(BidScale!C34-0.1,4)&lt;=Upper),ROUND(BidScale!C34-0.1,4),""),"")</f>
        <v>69.900000000000006</v>
      </c>
      <c r="F34" s="8">
        <f>IF(ISNUMBER(BidScale!C34),IF(AND(BidScale!C34&gt;Lower,BidScale!C34&lt;Upper,ROUND(BidScale!C34,4)&gt;=Lower,ROUND(BidScale!C34,4)&lt;=Upper),ROUND(BidScale!C34,4),""),"")</f>
        <v>70</v>
      </c>
      <c r="G34" s="9">
        <f>IF(ISNUMBER(BidScale!D34),IF(AND(BidScale!D34&gt;Lower,BidScale!D34&lt;Upper,ROUND(BidScale!D34,4)&gt;=Lower,ROUND(BidScale!D34,4)&lt;=Upper),ROUND(BidScale!D34,4),""),"")</f>
        <v>80</v>
      </c>
      <c r="H34" s="10">
        <f>IF(ISNUMBER(BidScale!D34),IF(AND(BidScale!D34&gt;Lower,BidScale!D34&lt;Upper,ROUND(BidScale!D34+0.1,4)&gt;=Lower,ROUND(BidScale!D34+0.1,4)&lt;=Upper),ROUND(BidScale!D34+0.1,4),""),"")</f>
        <v>80.099999999999994</v>
      </c>
      <c r="I34" s="9">
        <f>IF(ISNUMBER(BidScale!E34),IF(AND(BidScale!E34&gt;Lower,BidScale!E34&lt;Upper,ROUND(BidScale!E34,4)&gt;=Lower,ROUND(BidScale!E34,4)&lt;=Upper),ROUND(BidScale!E34,4),""),"")</f>
        <v>90</v>
      </c>
      <c r="J34" s="10">
        <f>IF(ISNUMBER(BidScale!E34),IF(AND(BidScale!E34&gt;Lower,BidScale!E34&lt;Upper,ROUND(BidScale!E34+0.1,4)&gt;=Lower,ROUND(BidScale!E34+0.1,4)&lt;=Upper),ROUND(BidScale!E34+0.1,4),""),"")</f>
        <v>90.1</v>
      </c>
      <c r="K34" s="9">
        <f>IF(ISNUMBER(BidScale!F34),IF(AND(BidScale!F34&gt;Lower,BidScale!F34&lt;Upper,ROUND(BidScale!F34,4)&gt;=Lower,ROUND(BidScale!F34,4)&lt;=Upper),ROUND(BidScale!F34,4),""),"")</f>
        <v>100</v>
      </c>
      <c r="L34" s="10">
        <f>IF(ISNUMBER(BidScale!F34),IF(AND(BidScale!F34&gt;Lower,BidScale!F34&lt;Upper,ROUND(BidScale!F34+0.1,4)&gt;=Lower,ROUND(BidScale!F34+0.1,4)&lt;=Upper),ROUND(BidScale!F34+0.1,4),""),"")</f>
        <v>100.1</v>
      </c>
    </row>
    <row r="35" spans="1:12">
      <c r="A35" s="7">
        <f>IF(ISNUMBER(BidScale!A35),IF(AND(BidScale!A35&gt;Lower,BidScale!A35&lt;Upper,ROUND(BidScale!A35-0.1,4)&gt;=Lower,ROUND(BidScale!A35-0.1,4)&lt;=Upper),ROUND(BidScale!A35-0.1,4),""),"")</f>
        <v>49.9</v>
      </c>
      <c r="B35" s="8">
        <f>IF(ISNUMBER(BidScale!A35),IF(AND(BidScale!A35&gt;Lower,BidScale!A35&lt;Upper,ROUND(BidScale!A35,4)&gt;=Lower,ROUND(BidScale!A35,4)&lt;=Upper),ROUND(BidScale!A35,4),""),"")</f>
        <v>50</v>
      </c>
      <c r="C35" s="7">
        <f>IF(ISNUMBER(BidScale!B35),IF(AND(BidScale!B35&gt;Lower,BidScale!B35&lt;Upper,ROUND(BidScale!B35-0.1,4)&gt;=Lower,ROUND(BidScale!B35-0.1,4)&lt;=Upper),ROUND(BidScale!B35-0.1,4),""),"")</f>
        <v>59.9</v>
      </c>
      <c r="D35" s="8">
        <f>IF(ISNUMBER(BidScale!B35),IF(AND(BidScale!B35&gt;Lower,BidScale!B35&lt;Upper,ROUND(BidScale!B35,4)&gt;=Lower,ROUND(BidScale!B35,4)&lt;=Upper),ROUND(BidScale!B35,4),""),"")</f>
        <v>60</v>
      </c>
      <c r="E35" s="7">
        <f>IF(ISNUMBER(BidScale!C35),IF(AND(BidScale!C35&gt;Lower,BidScale!C35&lt;Upper,ROUND(BidScale!C35-0.1,4)&gt;=Lower,ROUND(BidScale!C35-0.1,4)&lt;=Upper),ROUND(BidScale!C35-0.1,4),""),"")</f>
        <v>69.900000000000006</v>
      </c>
      <c r="F35" s="8">
        <f>IF(ISNUMBER(BidScale!C35),IF(AND(BidScale!C35&gt;Lower,BidScale!C35&lt;Upper,ROUND(BidScale!C35,4)&gt;=Lower,ROUND(BidScale!C35,4)&lt;=Upper),ROUND(BidScale!C35,4),""),"")</f>
        <v>70</v>
      </c>
      <c r="G35" s="9">
        <f>IF(ISNUMBER(BidScale!D35),IF(AND(BidScale!D35&gt;Lower,BidScale!D35&lt;Upper,ROUND(BidScale!D35,4)&gt;=Lower,ROUND(BidScale!D35,4)&lt;=Upper),ROUND(BidScale!D35,4),""),"")</f>
        <v>80</v>
      </c>
      <c r="H35" s="10">
        <f>IF(ISNUMBER(BidScale!D35),IF(AND(BidScale!D35&gt;Lower,BidScale!D35&lt;Upper,ROUND(BidScale!D35+0.1,4)&gt;=Lower,ROUND(BidScale!D35+0.1,4)&lt;=Upper),ROUND(BidScale!D35+0.1,4),""),"")</f>
        <v>80.099999999999994</v>
      </c>
      <c r="I35" s="9">
        <f>IF(ISNUMBER(BidScale!E35),IF(AND(BidScale!E35&gt;Lower,BidScale!E35&lt;Upper,ROUND(BidScale!E35,4)&gt;=Lower,ROUND(BidScale!E35,4)&lt;=Upper),ROUND(BidScale!E35,4),""),"")</f>
        <v>90</v>
      </c>
      <c r="J35" s="10">
        <f>IF(ISNUMBER(BidScale!E35),IF(AND(BidScale!E35&gt;Lower,BidScale!E35&lt;Upper,ROUND(BidScale!E35+0.1,4)&gt;=Lower,ROUND(BidScale!E35+0.1,4)&lt;=Upper),ROUND(BidScale!E35+0.1,4),""),"")</f>
        <v>90.1</v>
      </c>
      <c r="K35" s="9">
        <f>IF(ISNUMBER(BidScale!F35),IF(AND(BidScale!F35&gt;Lower,BidScale!F35&lt;Upper,ROUND(BidScale!F35,4)&gt;=Lower,ROUND(BidScale!F35,4)&lt;=Upper),ROUND(BidScale!F35,4),""),"")</f>
        <v>100</v>
      </c>
      <c r="L35" s="10">
        <f>IF(ISNUMBER(BidScale!F35),IF(AND(BidScale!F35&gt;Lower,BidScale!F35&lt;Upper,ROUND(BidScale!F35+0.1,4)&gt;=Lower,ROUND(BidScale!F35+0.1,4)&lt;=Upper),ROUND(BidScale!F35+0.1,4),""),"")</f>
        <v>100.1</v>
      </c>
    </row>
    <row r="36" spans="1:12">
      <c r="A36" s="7">
        <f>IF(ISNUMBER(BidScale!A36),IF(AND(BidScale!A36&gt;Lower,BidScale!A36&lt;Upper,ROUND(BidScale!A36-0.1,4)&gt;=Lower,ROUND(BidScale!A36-0.1,4)&lt;=Upper),ROUND(BidScale!A36-0.1,4),""),"")</f>
        <v>47.4</v>
      </c>
      <c r="B36" s="8">
        <f>IF(ISNUMBER(BidScale!A36),IF(AND(BidScale!A36&gt;Lower,BidScale!A36&lt;Upper,ROUND(BidScale!A36,4)&gt;=Lower,ROUND(BidScale!A36,4)&lt;=Upper),ROUND(BidScale!A36,4),""),"")</f>
        <v>47.5</v>
      </c>
      <c r="C36" s="7">
        <f>IF(ISNUMBER(BidScale!B36),IF(AND(BidScale!B36&gt;Lower,BidScale!B36&lt;Upper,ROUND(BidScale!B36-0.1,4)&gt;=Lower,ROUND(BidScale!B36-0.1,4)&lt;=Upper),ROUND(BidScale!B36-0.1,4),""),"")</f>
        <v>57.4</v>
      </c>
      <c r="D36" s="8">
        <f>IF(ISNUMBER(BidScale!B36),IF(AND(BidScale!B36&gt;Lower,BidScale!B36&lt;Upper,ROUND(BidScale!B36,4)&gt;=Lower,ROUND(BidScale!B36,4)&lt;=Upper),ROUND(BidScale!B36,4),""),"")</f>
        <v>57.5</v>
      </c>
      <c r="E36" s="7">
        <f>IF(ISNUMBER(BidScale!C36),IF(AND(BidScale!C36&gt;Lower,BidScale!C36&lt;Upper,ROUND(BidScale!C36-0.1,4)&gt;=Lower,ROUND(BidScale!C36-0.1,4)&lt;=Upper),ROUND(BidScale!C36-0.1,4),""),"")</f>
        <v>67.400000000000006</v>
      </c>
      <c r="F36" s="8">
        <f>IF(ISNUMBER(BidScale!C36),IF(AND(BidScale!C36&gt;Lower,BidScale!C36&lt;Upper,ROUND(BidScale!C36,4)&gt;=Lower,ROUND(BidScale!C36,4)&lt;=Upper),ROUND(BidScale!C36,4),""),"")</f>
        <v>67.5</v>
      </c>
      <c r="G36" s="9">
        <f>IF(ISNUMBER(BidScale!D36),IF(AND(BidScale!D36&gt;Lower,BidScale!D36&lt;Upper,ROUND(BidScale!D36,4)&gt;=Lower,ROUND(BidScale!D36,4)&lt;=Upper),ROUND(BidScale!D36,4),""),"")</f>
        <v>77.5</v>
      </c>
      <c r="H36" s="10">
        <f>IF(ISNUMBER(BidScale!D36),IF(AND(BidScale!D36&gt;Lower,BidScale!D36&lt;Upper,ROUND(BidScale!D36+0.1,4)&gt;=Lower,ROUND(BidScale!D36+0.1,4)&lt;=Upper),ROUND(BidScale!D36+0.1,4),""),"")</f>
        <v>77.599999999999994</v>
      </c>
      <c r="I36" s="9">
        <f>IF(ISNUMBER(BidScale!E36),IF(AND(BidScale!E36&gt;Lower,BidScale!E36&lt;Upper,ROUND(BidScale!E36,4)&gt;=Lower,ROUND(BidScale!E36,4)&lt;=Upper),ROUND(BidScale!E36,4),""),"")</f>
        <v>87.5</v>
      </c>
      <c r="J36" s="10">
        <f>IF(ISNUMBER(BidScale!E36),IF(AND(BidScale!E36&gt;Lower,BidScale!E36&lt;Upper,ROUND(BidScale!E36+0.1,4)&gt;=Lower,ROUND(BidScale!E36+0.1,4)&lt;=Upper),ROUND(BidScale!E36+0.1,4),""),"")</f>
        <v>87.6</v>
      </c>
      <c r="K36" s="9">
        <f>IF(ISNUMBER(BidScale!F36),IF(AND(BidScale!F36&gt;Lower,BidScale!F36&lt;Upper,ROUND(BidScale!F36,4)&gt;=Lower,ROUND(BidScale!F36,4)&lt;=Upper),ROUND(BidScale!F36,4),""),"")</f>
        <v>97.5</v>
      </c>
      <c r="L36" s="10">
        <f>IF(ISNUMBER(BidScale!F36),IF(AND(BidScale!F36&gt;Lower,BidScale!F36&lt;Upper,ROUND(BidScale!F36+0.1,4)&gt;=Lower,ROUND(BidScale!F36+0.1,4)&lt;=Upper),ROUND(BidScale!F36+0.1,4),""),"")</f>
        <v>97.6</v>
      </c>
    </row>
    <row r="37" spans="1:12">
      <c r="A37" s="7">
        <f>IF(ISNUMBER(BidScale!A37),IF(AND(BidScale!A37&gt;Lower,BidScale!A37&lt;Upper,ROUND(BidScale!A37-0.1,4)&gt;=Lower,ROUND(BidScale!A37-0.1,4)&lt;=Upper),ROUND(BidScale!A37-0.1,4),""),"")</f>
        <v>42.4</v>
      </c>
      <c r="B37" s="8">
        <f>IF(ISNUMBER(BidScale!A37),IF(AND(BidScale!A37&gt;Lower,BidScale!A37&lt;Upper,ROUND(BidScale!A37,4)&gt;=Lower,ROUND(BidScale!A37,4)&lt;=Upper),ROUND(BidScale!A37,4),""),"")</f>
        <v>42.5</v>
      </c>
      <c r="C37" s="7">
        <f>IF(ISNUMBER(BidScale!B37),IF(AND(BidScale!B37&gt;Lower,BidScale!B37&lt;Upper,ROUND(BidScale!B37-0.1,4)&gt;=Lower,ROUND(BidScale!B37-0.1,4)&lt;=Upper),ROUND(BidScale!B37-0.1,4),""),"")</f>
        <v>52.4</v>
      </c>
      <c r="D37" s="8">
        <f>IF(ISNUMBER(BidScale!B37),IF(AND(BidScale!B37&gt;Lower,BidScale!B37&lt;Upper,ROUND(BidScale!B37,4)&gt;=Lower,ROUND(BidScale!B37,4)&lt;=Upper),ROUND(BidScale!B37,4),""),"")</f>
        <v>52.5</v>
      </c>
      <c r="E37" s="7">
        <f>IF(ISNUMBER(BidScale!C37),IF(AND(BidScale!C37&gt;Lower,BidScale!C37&lt;Upper,ROUND(BidScale!C37-0.1,4)&gt;=Lower,ROUND(BidScale!C37-0.1,4)&lt;=Upper),ROUND(BidScale!C37-0.1,4),""),"")</f>
        <v>62.4</v>
      </c>
      <c r="F37" s="8">
        <f>IF(ISNUMBER(BidScale!C37),IF(AND(BidScale!C37&gt;Lower,BidScale!C37&lt;Upper,ROUND(BidScale!C37,4)&gt;=Lower,ROUND(BidScale!C37,4)&lt;=Upper),ROUND(BidScale!C37,4),""),"")</f>
        <v>62.5</v>
      </c>
      <c r="G37" s="9">
        <f>IF(ISNUMBER(BidScale!D37),IF(AND(BidScale!D37&gt;Lower,BidScale!D37&lt;Upper,ROUND(BidScale!D37,4)&gt;=Lower,ROUND(BidScale!D37,4)&lt;=Upper),ROUND(BidScale!D37,4),""),"")</f>
        <v>72.5</v>
      </c>
      <c r="H37" s="10">
        <f>IF(ISNUMBER(BidScale!D37),IF(AND(BidScale!D37&gt;Lower,BidScale!D37&lt;Upper,ROUND(BidScale!D37+0.1,4)&gt;=Lower,ROUND(BidScale!D37+0.1,4)&lt;=Upper),ROUND(BidScale!D37+0.1,4),""),"")</f>
        <v>72.599999999999994</v>
      </c>
      <c r="I37" s="9">
        <f>IF(ISNUMBER(BidScale!E37),IF(AND(BidScale!E37&gt;Lower,BidScale!E37&lt;Upper,ROUND(BidScale!E37,4)&gt;=Lower,ROUND(BidScale!E37,4)&lt;=Upper),ROUND(BidScale!E37,4),""),"")</f>
        <v>82.5</v>
      </c>
      <c r="J37" s="10">
        <f>IF(ISNUMBER(BidScale!E37),IF(AND(BidScale!E37&gt;Lower,BidScale!E37&lt;Upper,ROUND(BidScale!E37+0.1,4)&gt;=Lower,ROUND(BidScale!E37+0.1,4)&lt;=Upper),ROUND(BidScale!E37+0.1,4),""),"")</f>
        <v>82.6</v>
      </c>
      <c r="K37" s="9">
        <f>IF(ISNUMBER(BidScale!F37),IF(AND(BidScale!F37&gt;Lower,BidScale!F37&lt;Upper,ROUND(BidScale!F37,4)&gt;=Lower,ROUND(BidScale!F37,4)&lt;=Upper),ROUND(BidScale!F37,4),""),"")</f>
        <v>92.5</v>
      </c>
      <c r="L37" s="10">
        <f>IF(ISNUMBER(BidScale!F37),IF(AND(BidScale!F37&gt;Lower,BidScale!F37&lt;Upper,ROUND(BidScale!F37+0.1,4)&gt;=Lower,ROUND(BidScale!F37+0.1,4)&lt;=Upper),ROUND(BidScale!F37+0.1,4),""),"")</f>
        <v>92.6</v>
      </c>
    </row>
    <row r="38" spans="1:12">
      <c r="A38" s="7">
        <f>IF(ISNUMBER(BidScale!A38),IF(AND(BidScale!A38&gt;Lower,BidScale!A38&lt;Upper,ROUND(BidScale!A38-0.1,4)&gt;=Lower,ROUND(BidScale!A38-0.1,4)&lt;=Upper),ROUND(BidScale!A38-0.1,4),""),"")</f>
        <v>42.4</v>
      </c>
      <c r="B38" s="8">
        <f>IF(ISNUMBER(BidScale!A38),IF(AND(BidScale!A38&gt;Lower,BidScale!A38&lt;Upper,ROUND(BidScale!A38,4)&gt;=Lower,ROUND(BidScale!A38,4)&lt;=Upper),ROUND(BidScale!A38,4),""),"")</f>
        <v>42.5</v>
      </c>
      <c r="C38" s="7">
        <f>IF(ISNUMBER(BidScale!B38),IF(AND(BidScale!B38&gt;Lower,BidScale!B38&lt;Upper,ROUND(BidScale!B38-0.1,4)&gt;=Lower,ROUND(BidScale!B38-0.1,4)&lt;=Upper),ROUND(BidScale!B38-0.1,4),""),"")</f>
        <v>52.4</v>
      </c>
      <c r="D38" s="8">
        <f>IF(ISNUMBER(BidScale!B38),IF(AND(BidScale!B38&gt;Lower,BidScale!B38&lt;Upper,ROUND(BidScale!B38,4)&gt;=Lower,ROUND(BidScale!B38,4)&lt;=Upper),ROUND(BidScale!B38,4),""),"")</f>
        <v>52.5</v>
      </c>
      <c r="E38" s="7">
        <f>IF(ISNUMBER(BidScale!C38),IF(AND(BidScale!C38&gt;Lower,BidScale!C38&lt;Upper,ROUND(BidScale!C38-0.1,4)&gt;=Lower,ROUND(BidScale!C38-0.1,4)&lt;=Upper),ROUND(BidScale!C38-0.1,4),""),"")</f>
        <v>62.4</v>
      </c>
      <c r="F38" s="8">
        <f>IF(ISNUMBER(BidScale!C38),IF(AND(BidScale!C38&gt;Lower,BidScale!C38&lt;Upper,ROUND(BidScale!C38,4)&gt;=Lower,ROUND(BidScale!C38,4)&lt;=Upper),ROUND(BidScale!C38,4),""),"")</f>
        <v>62.5</v>
      </c>
      <c r="G38" s="9">
        <f>IF(ISNUMBER(BidScale!D38),IF(AND(BidScale!D38&gt;Lower,BidScale!D38&lt;Upper,ROUND(BidScale!D38,4)&gt;=Lower,ROUND(BidScale!D38,4)&lt;=Upper),ROUND(BidScale!D38,4),""),"")</f>
        <v>72.5</v>
      </c>
      <c r="H38" s="10">
        <f>IF(ISNUMBER(BidScale!D38),IF(AND(BidScale!D38&gt;Lower,BidScale!D38&lt;Upper,ROUND(BidScale!D38+0.1,4)&gt;=Lower,ROUND(BidScale!D38+0.1,4)&lt;=Upper),ROUND(BidScale!D38+0.1,4),""),"")</f>
        <v>72.599999999999994</v>
      </c>
      <c r="I38" s="9">
        <f>IF(ISNUMBER(BidScale!E38),IF(AND(BidScale!E38&gt;Lower,BidScale!E38&lt;Upper,ROUND(BidScale!E38,4)&gt;=Lower,ROUND(BidScale!E38,4)&lt;=Upper),ROUND(BidScale!E38,4),""),"")</f>
        <v>82.5</v>
      </c>
      <c r="J38" s="10">
        <f>IF(ISNUMBER(BidScale!E38),IF(AND(BidScale!E38&gt;Lower,BidScale!E38&lt;Upper,ROUND(BidScale!E38+0.1,4)&gt;=Lower,ROUND(BidScale!E38+0.1,4)&lt;=Upper),ROUND(BidScale!E38+0.1,4),""),"")</f>
        <v>82.6</v>
      </c>
      <c r="K38" s="9">
        <f>IF(ISNUMBER(BidScale!F38),IF(AND(BidScale!F38&gt;Lower,BidScale!F38&lt;Upper,ROUND(BidScale!F38,4)&gt;=Lower,ROUND(BidScale!F38,4)&lt;=Upper),ROUND(BidScale!F38,4),""),"")</f>
        <v>92.5</v>
      </c>
      <c r="L38" s="10">
        <f>IF(ISNUMBER(BidScale!F38),IF(AND(BidScale!F38&gt;Lower,BidScale!F38&lt;Upper,ROUND(BidScale!F38+0.1,4)&gt;=Lower,ROUND(BidScale!F38+0.1,4)&lt;=Upper),ROUND(BidScale!F38+0.1,4),""),"")</f>
        <v>92.6</v>
      </c>
    </row>
    <row r="39" spans="1:12">
      <c r="A39" s="7">
        <f>IF(ISNUMBER(BidScale!A39),IF(AND(BidScale!A39&gt;Lower,BidScale!A39&lt;Upper,ROUND(BidScale!A39-0.1,4)&gt;=Lower,ROUND(BidScale!A39-0.1,4)&lt;=Upper),ROUND(BidScale!A39-0.1,4),""),"")</f>
        <v>42.4</v>
      </c>
      <c r="B39" s="8">
        <f>IF(ISNUMBER(BidScale!A39),IF(AND(BidScale!A39&gt;Lower,BidScale!A39&lt;Upper,ROUND(BidScale!A39,4)&gt;=Lower,ROUND(BidScale!A39,4)&lt;=Upper),ROUND(BidScale!A39,4),""),"")</f>
        <v>42.5</v>
      </c>
      <c r="C39" s="7">
        <f>IF(ISNUMBER(BidScale!B39),IF(AND(BidScale!B39&gt;Lower,BidScale!B39&lt;Upper,ROUND(BidScale!B39-0.1,4)&gt;=Lower,ROUND(BidScale!B39-0.1,4)&lt;=Upper),ROUND(BidScale!B39-0.1,4),""),"")</f>
        <v>52.4</v>
      </c>
      <c r="D39" s="8">
        <f>IF(ISNUMBER(BidScale!B39),IF(AND(BidScale!B39&gt;Lower,BidScale!B39&lt;Upper,ROUND(BidScale!B39,4)&gt;=Lower,ROUND(BidScale!B39,4)&lt;=Upper),ROUND(BidScale!B39,4),""),"")</f>
        <v>52.5</v>
      </c>
      <c r="E39" s="7">
        <f>IF(ISNUMBER(BidScale!C39),IF(AND(BidScale!C39&gt;Lower,BidScale!C39&lt;Upper,ROUND(BidScale!C39-0.1,4)&gt;=Lower,ROUND(BidScale!C39-0.1,4)&lt;=Upper),ROUND(BidScale!C39-0.1,4),""),"")</f>
        <v>62.4</v>
      </c>
      <c r="F39" s="8">
        <f>IF(ISNUMBER(BidScale!C39),IF(AND(BidScale!C39&gt;Lower,BidScale!C39&lt;Upper,ROUND(BidScale!C39,4)&gt;=Lower,ROUND(BidScale!C39,4)&lt;=Upper),ROUND(BidScale!C39,4),""),"")</f>
        <v>62.5</v>
      </c>
      <c r="G39" s="9">
        <f>IF(ISNUMBER(BidScale!D39),IF(AND(BidScale!D39&gt;Lower,BidScale!D39&lt;Upper,ROUND(BidScale!D39,4)&gt;=Lower,ROUND(BidScale!D39,4)&lt;=Upper),ROUND(BidScale!D39,4),""),"")</f>
        <v>72.5</v>
      </c>
      <c r="H39" s="10">
        <f>IF(ISNUMBER(BidScale!D39),IF(AND(BidScale!D39&gt;Lower,BidScale!D39&lt;Upper,ROUND(BidScale!D39+0.1,4)&gt;=Lower,ROUND(BidScale!D39+0.1,4)&lt;=Upper),ROUND(BidScale!D39+0.1,4),""),"")</f>
        <v>72.599999999999994</v>
      </c>
      <c r="I39" s="9">
        <f>IF(ISNUMBER(BidScale!E39),IF(AND(BidScale!E39&gt;Lower,BidScale!E39&lt;Upper,ROUND(BidScale!E39,4)&gt;=Lower,ROUND(BidScale!E39,4)&lt;=Upper),ROUND(BidScale!E39,4),""),"")</f>
        <v>82.5</v>
      </c>
      <c r="J39" s="10">
        <f>IF(ISNUMBER(BidScale!E39),IF(AND(BidScale!E39&gt;Lower,BidScale!E39&lt;Upper,ROUND(BidScale!E39+0.1,4)&gt;=Lower,ROUND(BidScale!E39+0.1,4)&lt;=Upper),ROUND(BidScale!E39+0.1,4),""),"")</f>
        <v>82.6</v>
      </c>
      <c r="K39" s="9">
        <f>IF(ISNUMBER(BidScale!F39),IF(AND(BidScale!F39&gt;Lower,BidScale!F39&lt;Upper,ROUND(BidScale!F39,4)&gt;=Lower,ROUND(BidScale!F39,4)&lt;=Upper),ROUND(BidScale!F39,4),""),"")</f>
        <v>92.5</v>
      </c>
      <c r="L39" s="10">
        <f>IF(ISNUMBER(BidScale!F39),IF(AND(BidScale!F39&gt;Lower,BidScale!F39&lt;Upper,ROUND(BidScale!F39+0.1,4)&gt;=Lower,ROUND(BidScale!F39+0.1,4)&lt;=Upper),ROUND(BidScale!F39+0.1,4),""),"")</f>
        <v>92.6</v>
      </c>
    </row>
    <row r="40" spans="1:12">
      <c r="A40" s="7">
        <f>IF(ISNUMBER(BidScale!A40),IF(AND(BidScale!A40&gt;Lower,BidScale!A40&lt;Upper,ROUND(BidScale!A40-0.1,4)&gt;=Lower,ROUND(BidScale!A40-0.1,4)&lt;=Upper),ROUND(BidScale!A40-0.1,4),""),"")</f>
        <v>37.4</v>
      </c>
      <c r="B40" s="8">
        <f>IF(ISNUMBER(BidScale!A40),IF(AND(BidScale!A40&gt;Lower,BidScale!A40&lt;Upper,ROUND(BidScale!A40,4)&gt;=Lower,ROUND(BidScale!A40,4)&lt;=Upper),ROUND(BidScale!A40,4),""),"")</f>
        <v>37.5</v>
      </c>
      <c r="C40" s="7">
        <f>IF(ISNUMBER(BidScale!B40),IF(AND(BidScale!B40&gt;Lower,BidScale!B40&lt;Upper,ROUND(BidScale!B40-0.1,4)&gt;=Lower,ROUND(BidScale!B40-0.1,4)&lt;=Upper),ROUND(BidScale!B40-0.1,4),""),"")</f>
        <v>47.4</v>
      </c>
      <c r="D40" s="8">
        <f>IF(ISNUMBER(BidScale!B40),IF(AND(BidScale!B40&gt;Lower,BidScale!B40&lt;Upper,ROUND(BidScale!B40,4)&gt;=Lower,ROUND(BidScale!B40,4)&lt;=Upper),ROUND(BidScale!B40,4),""),"")</f>
        <v>47.5</v>
      </c>
      <c r="E40" s="7">
        <f>IF(ISNUMBER(BidScale!C40),IF(AND(BidScale!C40&gt;Lower,BidScale!C40&lt;Upper,ROUND(BidScale!C40-0.1,4)&gt;=Lower,ROUND(BidScale!C40-0.1,4)&lt;=Upper),ROUND(BidScale!C40-0.1,4),""),"")</f>
        <v>57.4</v>
      </c>
      <c r="F40" s="8">
        <f>IF(ISNUMBER(BidScale!C40),IF(AND(BidScale!C40&gt;Lower,BidScale!C40&lt;Upper,ROUND(BidScale!C40,4)&gt;=Lower,ROUND(BidScale!C40,4)&lt;=Upper),ROUND(BidScale!C40,4),""),"")</f>
        <v>57.5</v>
      </c>
      <c r="G40" s="9">
        <f>IF(ISNUMBER(BidScale!D40),IF(AND(BidScale!D40&gt;Lower,BidScale!D40&lt;Upper,ROUND(BidScale!D40,4)&gt;=Lower,ROUND(BidScale!D40,4)&lt;=Upper),ROUND(BidScale!D40,4),""),"")</f>
        <v>67.5</v>
      </c>
      <c r="H40" s="10">
        <f>IF(ISNUMBER(BidScale!D40),IF(AND(BidScale!D40&gt;Lower,BidScale!D40&lt;Upper,ROUND(BidScale!D40+0.1,4)&gt;=Lower,ROUND(BidScale!D40+0.1,4)&lt;=Upper),ROUND(BidScale!D40+0.1,4),""),"")</f>
        <v>67.599999999999994</v>
      </c>
      <c r="I40" s="9">
        <f>IF(ISNUMBER(BidScale!E40),IF(AND(BidScale!E40&gt;Lower,BidScale!E40&lt;Upper,ROUND(BidScale!E40,4)&gt;=Lower,ROUND(BidScale!E40,4)&lt;=Upper),ROUND(BidScale!E40,4),""),"")</f>
        <v>77.5</v>
      </c>
      <c r="J40" s="10">
        <f>IF(ISNUMBER(BidScale!E40),IF(AND(BidScale!E40&gt;Lower,BidScale!E40&lt;Upper,ROUND(BidScale!E40+0.1,4)&gt;=Lower,ROUND(BidScale!E40+0.1,4)&lt;=Upper),ROUND(BidScale!E40+0.1,4),""),"")</f>
        <v>77.599999999999994</v>
      </c>
      <c r="K40" s="9">
        <f>IF(ISNUMBER(BidScale!F40),IF(AND(BidScale!F40&gt;Lower,BidScale!F40&lt;Upper,ROUND(BidScale!F40,4)&gt;=Lower,ROUND(BidScale!F40,4)&lt;=Upper),ROUND(BidScale!F40,4),""),"")</f>
        <v>87.5</v>
      </c>
      <c r="L40" s="10">
        <f>IF(ISNUMBER(BidScale!F40),IF(AND(BidScale!F40&gt;Lower,BidScale!F40&lt;Upper,ROUND(BidScale!F40+0.1,4)&gt;=Lower,ROUND(BidScale!F40+0.1,4)&lt;=Upper),ROUND(BidScale!F40+0.1,4),""),"")</f>
        <v>87.6</v>
      </c>
    </row>
    <row r="41" spans="1:12">
      <c r="A41" s="7">
        <f>IF(ISNUMBER(BidScale!A41),IF(AND(BidScale!A41&gt;Lower,BidScale!A41&lt;Upper,ROUND(BidScale!A41-0.1,4)&gt;=Lower,ROUND(BidScale!A41-0.1,4)&lt;=Upper),ROUND(BidScale!A41-0.1,4),""),"")</f>
        <v>32.4</v>
      </c>
      <c r="B41" s="8">
        <f>IF(ISNUMBER(BidScale!A41),IF(AND(BidScale!A41&gt;Lower,BidScale!A41&lt;Upper,ROUND(BidScale!A41,4)&gt;=Lower,ROUND(BidScale!A41,4)&lt;=Upper),ROUND(BidScale!A41,4),""),"")</f>
        <v>32.5</v>
      </c>
      <c r="C41" s="7">
        <f>IF(ISNUMBER(BidScale!B41),IF(AND(BidScale!B41&gt;Lower,BidScale!B41&lt;Upper,ROUND(BidScale!B41-0.1,4)&gt;=Lower,ROUND(BidScale!B41-0.1,4)&lt;=Upper),ROUND(BidScale!B41-0.1,4),""),"")</f>
        <v>42.4</v>
      </c>
      <c r="D41" s="8">
        <f>IF(ISNUMBER(BidScale!B41),IF(AND(BidScale!B41&gt;Lower,BidScale!B41&lt;Upper,ROUND(BidScale!B41,4)&gt;=Lower,ROUND(BidScale!B41,4)&lt;=Upper),ROUND(BidScale!B41,4),""),"")</f>
        <v>42.5</v>
      </c>
      <c r="E41" s="7">
        <f>IF(ISNUMBER(BidScale!C41),IF(AND(BidScale!C41&gt;Lower,BidScale!C41&lt;Upper,ROUND(BidScale!C41-0.1,4)&gt;=Lower,ROUND(BidScale!C41-0.1,4)&lt;=Upper),ROUND(BidScale!C41-0.1,4),""),"")</f>
        <v>52.4</v>
      </c>
      <c r="F41" s="8">
        <f>IF(ISNUMBER(BidScale!C41),IF(AND(BidScale!C41&gt;Lower,BidScale!C41&lt;Upper,ROUND(BidScale!C41,4)&gt;=Lower,ROUND(BidScale!C41,4)&lt;=Upper),ROUND(BidScale!C41,4),""),"")</f>
        <v>52.5</v>
      </c>
      <c r="G41" s="9">
        <f>IF(ISNUMBER(BidScale!D41),IF(AND(BidScale!D41&gt;Lower,BidScale!D41&lt;Upper,ROUND(BidScale!D41,4)&gt;=Lower,ROUND(BidScale!D41,4)&lt;=Upper),ROUND(BidScale!D41,4),""),"")</f>
        <v>62.5</v>
      </c>
      <c r="H41" s="10">
        <f>IF(ISNUMBER(BidScale!D41),IF(AND(BidScale!D41&gt;Lower,BidScale!D41&lt;Upper,ROUND(BidScale!D41+0.1,4)&gt;=Lower,ROUND(BidScale!D41+0.1,4)&lt;=Upper),ROUND(BidScale!D41+0.1,4),""),"")</f>
        <v>62.6</v>
      </c>
      <c r="I41" s="9">
        <f>IF(ISNUMBER(BidScale!E41),IF(AND(BidScale!E41&gt;Lower,BidScale!E41&lt;Upper,ROUND(BidScale!E41,4)&gt;=Lower,ROUND(BidScale!E41,4)&lt;=Upper),ROUND(BidScale!E41,4),""),"")</f>
        <v>72.5</v>
      </c>
      <c r="J41" s="10">
        <f>IF(ISNUMBER(BidScale!E41),IF(AND(BidScale!E41&gt;Lower,BidScale!E41&lt;Upper,ROUND(BidScale!E41+0.1,4)&gt;=Lower,ROUND(BidScale!E41+0.1,4)&lt;=Upper),ROUND(BidScale!E41+0.1,4),""),"")</f>
        <v>72.599999999999994</v>
      </c>
      <c r="K41" s="9">
        <f>IF(ISNUMBER(BidScale!F41),IF(AND(BidScale!F41&gt;Lower,BidScale!F41&lt;Upper,ROUND(BidScale!F41,4)&gt;=Lower,ROUND(BidScale!F41,4)&lt;=Upper),ROUND(BidScale!F41,4),""),"")</f>
        <v>82.5</v>
      </c>
      <c r="L41" s="10">
        <f>IF(ISNUMBER(BidScale!F41),IF(AND(BidScale!F41&gt;Lower,BidScale!F41&lt;Upper,ROUND(BidScale!F41+0.1,4)&gt;=Lower,ROUND(BidScale!F41+0.1,4)&lt;=Upper),ROUND(BidScale!F41+0.1,4),""),"")</f>
        <v>82.6</v>
      </c>
    </row>
    <row r="42" spans="1:12">
      <c r="A42" s="7">
        <f>IF(ISNUMBER(BidScale!A42),IF(AND(BidScale!A42&gt;Lower,BidScale!A42&lt;Upper,ROUND(BidScale!A42-0.1,4)&gt;=Lower,ROUND(BidScale!A42-0.1,4)&lt;=Upper),ROUND(BidScale!A42-0.1,4),""),"")</f>
        <v>32.4</v>
      </c>
      <c r="B42" s="8">
        <f>IF(ISNUMBER(BidScale!A42),IF(AND(BidScale!A42&gt;Lower,BidScale!A42&lt;Upper,ROUND(BidScale!A42,4)&gt;=Lower,ROUND(BidScale!A42,4)&lt;=Upper),ROUND(BidScale!A42,4),""),"")</f>
        <v>32.5</v>
      </c>
      <c r="C42" s="7">
        <f>IF(ISNUMBER(BidScale!B42),IF(AND(BidScale!B42&gt;Lower,BidScale!B42&lt;Upper,ROUND(BidScale!B42-0.1,4)&gt;=Lower,ROUND(BidScale!B42-0.1,4)&lt;=Upper),ROUND(BidScale!B42-0.1,4),""),"")</f>
        <v>42.4</v>
      </c>
      <c r="D42" s="8">
        <f>IF(ISNUMBER(BidScale!B42),IF(AND(BidScale!B42&gt;Lower,BidScale!B42&lt;Upper,ROUND(BidScale!B42,4)&gt;=Lower,ROUND(BidScale!B42,4)&lt;=Upper),ROUND(BidScale!B42,4),""),"")</f>
        <v>42.5</v>
      </c>
      <c r="E42" s="7">
        <f>IF(ISNUMBER(BidScale!C42),IF(AND(BidScale!C42&gt;Lower,BidScale!C42&lt;Upper,ROUND(BidScale!C42-0.1,4)&gt;=Lower,ROUND(BidScale!C42-0.1,4)&lt;=Upper),ROUND(BidScale!C42-0.1,4),""),"")</f>
        <v>52.4</v>
      </c>
      <c r="F42" s="8">
        <f>IF(ISNUMBER(BidScale!C42),IF(AND(BidScale!C42&gt;Lower,BidScale!C42&lt;Upper,ROUND(BidScale!C42,4)&gt;=Lower,ROUND(BidScale!C42,4)&lt;=Upper),ROUND(BidScale!C42,4),""),"")</f>
        <v>52.5</v>
      </c>
      <c r="G42" s="9">
        <f>IF(ISNUMBER(BidScale!D42),IF(AND(BidScale!D42&gt;Lower,BidScale!D42&lt;Upper,ROUND(BidScale!D42,4)&gt;=Lower,ROUND(BidScale!D42,4)&lt;=Upper),ROUND(BidScale!D42,4),""),"")</f>
        <v>62.5</v>
      </c>
      <c r="H42" s="10">
        <f>IF(ISNUMBER(BidScale!D42),IF(AND(BidScale!D42&gt;Lower,BidScale!D42&lt;Upper,ROUND(BidScale!D42+0.1,4)&gt;=Lower,ROUND(BidScale!D42+0.1,4)&lt;=Upper),ROUND(BidScale!D42+0.1,4),""),"")</f>
        <v>62.6</v>
      </c>
      <c r="I42" s="9">
        <f>IF(ISNUMBER(BidScale!E42),IF(AND(BidScale!E42&gt;Lower,BidScale!E42&lt;Upper,ROUND(BidScale!E42,4)&gt;=Lower,ROUND(BidScale!E42,4)&lt;=Upper),ROUND(BidScale!E42,4),""),"")</f>
        <v>72.5</v>
      </c>
      <c r="J42" s="10">
        <f>IF(ISNUMBER(BidScale!E42),IF(AND(BidScale!E42&gt;Lower,BidScale!E42&lt;Upper,ROUND(BidScale!E42+0.1,4)&gt;=Lower,ROUND(BidScale!E42+0.1,4)&lt;=Upper),ROUND(BidScale!E42+0.1,4),""),"")</f>
        <v>72.599999999999994</v>
      </c>
      <c r="K42" s="9">
        <f>IF(ISNUMBER(BidScale!F42),IF(AND(BidScale!F42&gt;Lower,BidScale!F42&lt;Upper,ROUND(BidScale!F42,4)&gt;=Lower,ROUND(BidScale!F42,4)&lt;=Upper),ROUND(BidScale!F42,4),""),"")</f>
        <v>82.5</v>
      </c>
      <c r="L42" s="10">
        <f>IF(ISNUMBER(BidScale!F42),IF(AND(BidScale!F42&gt;Lower,BidScale!F42&lt;Upper,ROUND(BidScale!F42+0.1,4)&gt;=Lower,ROUND(BidScale!F42+0.1,4)&lt;=Upper),ROUND(BidScale!F42+0.1,4),""),"")</f>
        <v>82.6</v>
      </c>
    </row>
    <row r="43" spans="1:12">
      <c r="A43" s="7">
        <f>IF(ISNUMBER(BidScale!A43),IF(AND(BidScale!A43&gt;Lower,BidScale!A43&lt;Upper,ROUND(BidScale!A43-0.1,4)&gt;=Lower,ROUND(BidScale!A43-0.1,4)&lt;=Upper),ROUND(BidScale!A43-0.1,4),""),"")</f>
        <v>29.9</v>
      </c>
      <c r="B43" s="8">
        <f>IF(ISNUMBER(BidScale!A43),IF(AND(BidScale!A43&gt;Lower,BidScale!A43&lt;Upper,ROUND(BidScale!A43,4)&gt;=Lower,ROUND(BidScale!A43,4)&lt;=Upper),ROUND(BidScale!A43,4),""),"")</f>
        <v>30</v>
      </c>
      <c r="C43" s="7">
        <f>IF(ISNUMBER(BidScale!B43),IF(AND(BidScale!B43&gt;Lower,BidScale!B43&lt;Upper,ROUND(BidScale!B43-0.1,4)&gt;=Lower,ROUND(BidScale!B43-0.1,4)&lt;=Upper),ROUND(BidScale!B43-0.1,4),""),"")</f>
        <v>39.9</v>
      </c>
      <c r="D43" s="8">
        <f>IF(ISNUMBER(BidScale!B43),IF(AND(BidScale!B43&gt;Lower,BidScale!B43&lt;Upper,ROUND(BidScale!B43,4)&gt;=Lower,ROUND(BidScale!B43,4)&lt;=Upper),ROUND(BidScale!B43,4),""),"")</f>
        <v>40</v>
      </c>
      <c r="E43" s="7">
        <f>IF(ISNUMBER(BidScale!C43),IF(AND(BidScale!C43&gt;Lower,BidScale!C43&lt;Upper,ROUND(BidScale!C43-0.1,4)&gt;=Lower,ROUND(BidScale!C43-0.1,4)&lt;=Upper),ROUND(BidScale!C43-0.1,4),""),"")</f>
        <v>49.9</v>
      </c>
      <c r="F43" s="8">
        <f>IF(ISNUMBER(BidScale!C43),IF(AND(BidScale!C43&gt;Lower,BidScale!C43&lt;Upper,ROUND(BidScale!C43,4)&gt;=Lower,ROUND(BidScale!C43,4)&lt;=Upper),ROUND(BidScale!C43,4),""),"")</f>
        <v>50</v>
      </c>
      <c r="G43" s="9">
        <f>IF(ISNUMBER(BidScale!D43),IF(AND(BidScale!D43&gt;Lower,BidScale!D43&lt;Upper,ROUND(BidScale!D43,4)&gt;=Lower,ROUND(BidScale!D43,4)&lt;=Upper),ROUND(BidScale!D43,4),""),"")</f>
        <v>60</v>
      </c>
      <c r="H43" s="10">
        <f>IF(ISNUMBER(BidScale!D43),IF(AND(BidScale!D43&gt;Lower,BidScale!D43&lt;Upper,ROUND(BidScale!D43+0.1,4)&gt;=Lower,ROUND(BidScale!D43+0.1,4)&lt;=Upper),ROUND(BidScale!D43+0.1,4),""),"")</f>
        <v>60.1</v>
      </c>
      <c r="I43" s="9">
        <f>IF(ISNUMBER(BidScale!E43),IF(AND(BidScale!E43&gt;Lower,BidScale!E43&lt;Upper,ROUND(BidScale!E43,4)&gt;=Lower,ROUND(BidScale!E43,4)&lt;=Upper),ROUND(BidScale!E43,4),""),"")</f>
        <v>70</v>
      </c>
      <c r="J43" s="10">
        <f>IF(ISNUMBER(BidScale!E43),IF(AND(BidScale!E43&gt;Lower,BidScale!E43&lt;Upper,ROUND(BidScale!E43+0.1,4)&gt;=Lower,ROUND(BidScale!E43+0.1,4)&lt;=Upper),ROUND(BidScale!E43+0.1,4),""),"")</f>
        <v>70.099999999999994</v>
      </c>
      <c r="K43" s="9">
        <f>IF(ISNUMBER(BidScale!F43),IF(AND(BidScale!F43&gt;Lower,BidScale!F43&lt;Upper,ROUND(BidScale!F43,4)&gt;=Lower,ROUND(BidScale!F43,4)&lt;=Upper),ROUND(BidScale!F43,4),""),"")</f>
        <v>80</v>
      </c>
      <c r="L43" s="10">
        <f>IF(ISNUMBER(BidScale!F43),IF(AND(BidScale!F43&gt;Lower,BidScale!F43&lt;Upper,ROUND(BidScale!F43+0.1,4)&gt;=Lower,ROUND(BidScale!F43+0.1,4)&lt;=Upper),ROUND(BidScale!F43+0.1,4),""),"")</f>
        <v>80.099999999999994</v>
      </c>
    </row>
    <row r="44" spans="1:12">
      <c r="A44" s="7">
        <f>IF(ISNUMBER(BidScale!A44),IF(AND(BidScale!A44&gt;Lower,BidScale!A44&lt;Upper,ROUND(BidScale!A44-0.1,4)&gt;=Lower,ROUND(BidScale!A44-0.1,4)&lt;=Upper),ROUND(BidScale!A44-0.1,4),""),"")</f>
        <v>24.9</v>
      </c>
      <c r="B44" s="8">
        <f>IF(ISNUMBER(BidScale!A44),IF(AND(BidScale!A44&gt;Lower,BidScale!A44&lt;Upper,ROUND(BidScale!A44,4)&gt;=Lower,ROUND(BidScale!A44,4)&lt;=Upper),ROUND(BidScale!A44,4),""),"")</f>
        <v>25</v>
      </c>
      <c r="C44" s="7">
        <f>IF(ISNUMBER(BidScale!B44),IF(AND(BidScale!B44&gt;Lower,BidScale!B44&lt;Upper,ROUND(BidScale!B44-0.1,4)&gt;=Lower,ROUND(BidScale!B44-0.1,4)&lt;=Upper),ROUND(BidScale!B44-0.1,4),""),"")</f>
        <v>34.9</v>
      </c>
      <c r="D44" s="8">
        <f>IF(ISNUMBER(BidScale!B44),IF(AND(BidScale!B44&gt;Lower,BidScale!B44&lt;Upper,ROUND(BidScale!B44,4)&gt;=Lower,ROUND(BidScale!B44,4)&lt;=Upper),ROUND(BidScale!B44,4),""),"")</f>
        <v>35</v>
      </c>
      <c r="E44" s="7">
        <f>IF(ISNUMBER(BidScale!C44),IF(AND(BidScale!C44&gt;Lower,BidScale!C44&lt;Upper,ROUND(BidScale!C44-0.1,4)&gt;=Lower,ROUND(BidScale!C44-0.1,4)&lt;=Upper),ROUND(BidScale!C44-0.1,4),""),"")</f>
        <v>44.9</v>
      </c>
      <c r="F44" s="8">
        <f>IF(ISNUMBER(BidScale!C44),IF(AND(BidScale!C44&gt;Lower,BidScale!C44&lt;Upper,ROUND(BidScale!C44,4)&gt;=Lower,ROUND(BidScale!C44,4)&lt;=Upper),ROUND(BidScale!C44,4),""),"")</f>
        <v>45</v>
      </c>
      <c r="G44" s="9">
        <f>IF(ISNUMBER(BidScale!D44),IF(AND(BidScale!D44&gt;Lower,BidScale!D44&lt;Upper,ROUND(BidScale!D44,4)&gt;=Lower,ROUND(BidScale!D44,4)&lt;=Upper),ROUND(BidScale!D44,4),""),"")</f>
        <v>55</v>
      </c>
      <c r="H44" s="10">
        <f>IF(ISNUMBER(BidScale!D44),IF(AND(BidScale!D44&gt;Lower,BidScale!D44&lt;Upper,ROUND(BidScale!D44+0.1,4)&gt;=Lower,ROUND(BidScale!D44+0.1,4)&lt;=Upper),ROUND(BidScale!D44+0.1,4),""),"")</f>
        <v>55.1</v>
      </c>
      <c r="I44" s="9">
        <f>IF(ISNUMBER(BidScale!E44),IF(AND(BidScale!E44&gt;Lower,BidScale!E44&lt;Upper,ROUND(BidScale!E44,4)&gt;=Lower,ROUND(BidScale!E44,4)&lt;=Upper),ROUND(BidScale!E44,4),""),"")</f>
        <v>65</v>
      </c>
      <c r="J44" s="10">
        <f>IF(ISNUMBER(BidScale!E44),IF(AND(BidScale!E44&gt;Lower,BidScale!E44&lt;Upper,ROUND(BidScale!E44+0.1,4)&gt;=Lower,ROUND(BidScale!E44+0.1,4)&lt;=Upper),ROUND(BidScale!E44+0.1,4),""),"")</f>
        <v>65.099999999999994</v>
      </c>
      <c r="K44" s="9">
        <f>IF(ISNUMBER(BidScale!F44),IF(AND(BidScale!F44&gt;Lower,BidScale!F44&lt;Upper,ROUND(BidScale!F44,4)&gt;=Lower,ROUND(BidScale!F44,4)&lt;=Upper),ROUND(BidScale!F44,4),""),"")</f>
        <v>75</v>
      </c>
      <c r="L44" s="10">
        <f>IF(ISNUMBER(BidScale!F44),IF(AND(BidScale!F44&gt;Lower,BidScale!F44&lt;Upper,ROUND(BidScale!F44+0.1,4)&gt;=Lower,ROUND(BidScale!F44+0.1,4)&lt;=Upper),ROUND(BidScale!F44+0.1,4),""),"")</f>
        <v>75.099999999999994</v>
      </c>
    </row>
    <row r="45" spans="1:12">
      <c r="A45" s="7">
        <f>IF(ISNUMBER(BidScale!A45),IF(AND(BidScale!A45&gt;Lower,BidScale!A45&lt;Upper,ROUND(BidScale!A45-0.1,4)&gt;=Lower,ROUND(BidScale!A45-0.1,4)&lt;=Upper),ROUND(BidScale!A45-0.1,4),""),"")</f>
        <v>19.899999999999999</v>
      </c>
      <c r="B45" s="8">
        <f>IF(ISNUMBER(BidScale!A45),IF(AND(BidScale!A45&gt;Lower,BidScale!A45&lt;Upper,ROUND(BidScale!A45,4)&gt;=Lower,ROUND(BidScale!A45,4)&lt;=Upper),ROUND(BidScale!A45,4),""),"")</f>
        <v>20</v>
      </c>
      <c r="C45" s="7">
        <f>IF(ISNUMBER(BidScale!B45),IF(AND(BidScale!B45&gt;Lower,BidScale!B45&lt;Upper,ROUND(BidScale!B45-0.1,4)&gt;=Lower,ROUND(BidScale!B45-0.1,4)&lt;=Upper),ROUND(BidScale!B45-0.1,4),""),"")</f>
        <v>29.9</v>
      </c>
      <c r="D45" s="8">
        <f>IF(ISNUMBER(BidScale!B45),IF(AND(BidScale!B45&gt;Lower,BidScale!B45&lt;Upper,ROUND(BidScale!B45,4)&gt;=Lower,ROUND(BidScale!B45,4)&lt;=Upper),ROUND(BidScale!B45,4),""),"")</f>
        <v>30</v>
      </c>
      <c r="E45" s="7">
        <f>IF(ISNUMBER(BidScale!C45),IF(AND(BidScale!C45&gt;Lower,BidScale!C45&lt;Upper,ROUND(BidScale!C45-0.1,4)&gt;=Lower,ROUND(BidScale!C45-0.1,4)&lt;=Upper),ROUND(BidScale!C45-0.1,4),""),"")</f>
        <v>39.9</v>
      </c>
      <c r="F45" s="8">
        <f>IF(ISNUMBER(BidScale!C45),IF(AND(BidScale!C45&gt;Lower,BidScale!C45&lt;Upper,ROUND(BidScale!C45,4)&gt;=Lower,ROUND(BidScale!C45,4)&lt;=Upper),ROUND(BidScale!C45,4),""),"")</f>
        <v>40</v>
      </c>
      <c r="G45" s="9">
        <f>IF(ISNUMBER(BidScale!D45),IF(AND(BidScale!D45&gt;Lower,BidScale!D45&lt;Upper,ROUND(BidScale!D45,4)&gt;=Lower,ROUND(BidScale!D45,4)&lt;=Upper),ROUND(BidScale!D45,4),""),"")</f>
        <v>50</v>
      </c>
      <c r="H45" s="10">
        <f>IF(ISNUMBER(BidScale!D45),IF(AND(BidScale!D45&gt;Lower,BidScale!D45&lt;Upper,ROUND(BidScale!D45+0.1,4)&gt;=Lower,ROUND(BidScale!D45+0.1,4)&lt;=Upper),ROUND(BidScale!D45+0.1,4),""),"")</f>
        <v>50.1</v>
      </c>
      <c r="I45" s="9">
        <f>IF(ISNUMBER(BidScale!E45),IF(AND(BidScale!E45&gt;Lower,BidScale!E45&lt;Upper,ROUND(BidScale!E45,4)&gt;=Lower,ROUND(BidScale!E45,4)&lt;=Upper),ROUND(BidScale!E45,4),""),"")</f>
        <v>60</v>
      </c>
      <c r="J45" s="10">
        <f>IF(ISNUMBER(BidScale!E45),IF(AND(BidScale!E45&gt;Lower,BidScale!E45&lt;Upper,ROUND(BidScale!E45+0.1,4)&gt;=Lower,ROUND(BidScale!E45+0.1,4)&lt;=Upper),ROUND(BidScale!E45+0.1,4),""),"")</f>
        <v>60.1</v>
      </c>
      <c r="K45" s="9">
        <f>IF(ISNUMBER(BidScale!F45),IF(AND(BidScale!F45&gt;Lower,BidScale!F45&lt;Upper,ROUND(BidScale!F45,4)&gt;=Lower,ROUND(BidScale!F45,4)&lt;=Upper),ROUND(BidScale!F45,4),""),"")</f>
        <v>70</v>
      </c>
      <c r="L45" s="10">
        <f>IF(ISNUMBER(BidScale!F45),IF(AND(BidScale!F45&gt;Lower,BidScale!F45&lt;Upper,ROUND(BidScale!F45+0.1,4)&gt;=Lower,ROUND(BidScale!F45+0.1,4)&lt;=Upper),ROUND(BidScale!F45+0.1,4),""),"")</f>
        <v>70.099999999999994</v>
      </c>
    </row>
    <row r="46" spans="1:12">
      <c r="A46" s="7">
        <f>IF(ISNUMBER(BidScale!A46),IF(AND(BidScale!A46&gt;Lower,BidScale!A46&lt;Upper,ROUND(BidScale!A46-0.1,4)&gt;=Lower,ROUND(BidScale!A46-0.1,4)&lt;=Upper),ROUND(BidScale!A46-0.1,4),""),"")</f>
        <v>17.399999999999999</v>
      </c>
      <c r="B46" s="8">
        <f>IF(ISNUMBER(BidScale!A46),IF(AND(BidScale!A46&gt;Lower,BidScale!A46&lt;Upper,ROUND(BidScale!A46,4)&gt;=Lower,ROUND(BidScale!A46,4)&lt;=Upper),ROUND(BidScale!A46,4),""),"")</f>
        <v>17.5</v>
      </c>
      <c r="C46" s="7">
        <f>IF(ISNUMBER(BidScale!B46),IF(AND(BidScale!B46&gt;Lower,BidScale!B46&lt;Upper,ROUND(BidScale!B46-0.1,4)&gt;=Lower,ROUND(BidScale!B46-0.1,4)&lt;=Upper),ROUND(BidScale!B46-0.1,4),""),"")</f>
        <v>27.4</v>
      </c>
      <c r="D46" s="8">
        <f>IF(ISNUMBER(BidScale!B46),IF(AND(BidScale!B46&gt;Lower,BidScale!B46&lt;Upper,ROUND(BidScale!B46,4)&gt;=Lower,ROUND(BidScale!B46,4)&lt;=Upper),ROUND(BidScale!B46,4),""),"")</f>
        <v>27.5</v>
      </c>
      <c r="E46" s="7">
        <f>IF(ISNUMBER(BidScale!C46),IF(AND(BidScale!C46&gt;Lower,BidScale!C46&lt;Upper,ROUND(BidScale!C46-0.1,4)&gt;=Lower,ROUND(BidScale!C46-0.1,4)&lt;=Upper),ROUND(BidScale!C46-0.1,4),""),"")</f>
        <v>37.4</v>
      </c>
      <c r="F46" s="8">
        <f>IF(ISNUMBER(BidScale!C46),IF(AND(BidScale!C46&gt;Lower,BidScale!C46&lt;Upper,ROUND(BidScale!C46,4)&gt;=Lower,ROUND(BidScale!C46,4)&lt;=Upper),ROUND(BidScale!C46,4),""),"")</f>
        <v>37.5</v>
      </c>
      <c r="G46" s="9">
        <f>IF(ISNUMBER(BidScale!D46),IF(AND(BidScale!D46&gt;Lower,BidScale!D46&lt;Upper,ROUND(BidScale!D46,4)&gt;=Lower,ROUND(BidScale!D46,4)&lt;=Upper),ROUND(BidScale!D46,4),""),"")</f>
        <v>47.5</v>
      </c>
      <c r="H46" s="10">
        <f>IF(ISNUMBER(BidScale!D46),IF(AND(BidScale!D46&gt;Lower,BidScale!D46&lt;Upper,ROUND(BidScale!D46+0.1,4)&gt;=Lower,ROUND(BidScale!D46+0.1,4)&lt;=Upper),ROUND(BidScale!D46+0.1,4),""),"")</f>
        <v>47.6</v>
      </c>
      <c r="I46" s="9">
        <f>IF(ISNUMBER(BidScale!E46),IF(AND(BidScale!E46&gt;Lower,BidScale!E46&lt;Upper,ROUND(BidScale!E46,4)&gt;=Lower,ROUND(BidScale!E46,4)&lt;=Upper),ROUND(BidScale!E46,4),""),"")</f>
        <v>57.5</v>
      </c>
      <c r="J46" s="10">
        <f>IF(ISNUMBER(BidScale!E46),IF(AND(BidScale!E46&gt;Lower,BidScale!E46&lt;Upper,ROUND(BidScale!E46+0.1,4)&gt;=Lower,ROUND(BidScale!E46+0.1,4)&lt;=Upper),ROUND(BidScale!E46+0.1,4),""),"")</f>
        <v>57.6</v>
      </c>
      <c r="K46" s="9">
        <f>IF(ISNUMBER(BidScale!F46),IF(AND(BidScale!F46&gt;Lower,BidScale!F46&lt;Upper,ROUND(BidScale!F46,4)&gt;=Lower,ROUND(BidScale!F46,4)&lt;=Upper),ROUND(BidScale!F46,4),""),"")</f>
        <v>67.5</v>
      </c>
      <c r="L46" s="10">
        <f>IF(ISNUMBER(BidScale!F46),IF(AND(BidScale!F46&gt;Lower,BidScale!F46&lt;Upper,ROUND(BidScale!F46+0.1,4)&gt;=Lower,ROUND(BidScale!F46+0.1,4)&lt;=Upper),ROUND(BidScale!F46+0.1,4),""),"")</f>
        <v>67.599999999999994</v>
      </c>
    </row>
    <row r="47" spans="1:12">
      <c r="A47" s="7">
        <f>IF(ISNUMBER(BidScale!A47),IF(AND(BidScale!A47&gt;Lower,BidScale!A47&lt;Upper,ROUND(BidScale!A47-0.1,4)&gt;=Lower,ROUND(BidScale!A47-0.1,4)&lt;=Upper),ROUND(BidScale!A47-0.1,4),""),"")</f>
        <v>17.399999999999999</v>
      </c>
      <c r="B47" s="8">
        <f>IF(ISNUMBER(BidScale!A47),IF(AND(BidScale!A47&gt;Lower,BidScale!A47&lt;Upper,ROUND(BidScale!A47,4)&gt;=Lower,ROUND(BidScale!A47,4)&lt;=Upper),ROUND(BidScale!A47,4),""),"")</f>
        <v>17.5</v>
      </c>
      <c r="C47" s="7">
        <f>IF(ISNUMBER(BidScale!B47),IF(AND(BidScale!B47&gt;Lower,BidScale!B47&lt;Upper,ROUND(BidScale!B47-0.1,4)&gt;=Lower,ROUND(BidScale!B47-0.1,4)&lt;=Upper),ROUND(BidScale!B47-0.1,4),""),"")</f>
        <v>27.4</v>
      </c>
      <c r="D47" s="8">
        <f>IF(ISNUMBER(BidScale!B47),IF(AND(BidScale!B47&gt;Lower,BidScale!B47&lt;Upper,ROUND(BidScale!B47,4)&gt;=Lower,ROUND(BidScale!B47,4)&lt;=Upper),ROUND(BidScale!B47,4),""),"")</f>
        <v>27.5</v>
      </c>
      <c r="E47" s="7">
        <f>IF(ISNUMBER(BidScale!C47),IF(AND(BidScale!C47&gt;Lower,BidScale!C47&lt;Upper,ROUND(BidScale!C47-0.1,4)&gt;=Lower,ROUND(BidScale!C47-0.1,4)&lt;=Upper),ROUND(BidScale!C47-0.1,4),""),"")</f>
        <v>37.4</v>
      </c>
      <c r="F47" s="8">
        <f>IF(ISNUMBER(BidScale!C47),IF(AND(BidScale!C47&gt;Lower,BidScale!C47&lt;Upper,ROUND(BidScale!C47,4)&gt;=Lower,ROUND(BidScale!C47,4)&lt;=Upper),ROUND(BidScale!C47,4),""),"")</f>
        <v>37.5</v>
      </c>
      <c r="G47" s="9">
        <f>IF(ISNUMBER(BidScale!D47),IF(AND(BidScale!D47&gt;Lower,BidScale!D47&lt;Upper,ROUND(BidScale!D47,4)&gt;=Lower,ROUND(BidScale!D47,4)&lt;=Upper),ROUND(BidScale!D47,4),""),"")</f>
        <v>47.5</v>
      </c>
      <c r="H47" s="10">
        <f>IF(ISNUMBER(BidScale!D47),IF(AND(BidScale!D47&gt;Lower,BidScale!D47&lt;Upper,ROUND(BidScale!D47+0.1,4)&gt;=Lower,ROUND(BidScale!D47+0.1,4)&lt;=Upper),ROUND(BidScale!D47+0.1,4),""),"")</f>
        <v>47.6</v>
      </c>
      <c r="I47" s="9">
        <f>IF(ISNUMBER(BidScale!E47),IF(AND(BidScale!E47&gt;Lower,BidScale!E47&lt;Upper,ROUND(BidScale!E47,4)&gt;=Lower,ROUND(BidScale!E47,4)&lt;=Upper),ROUND(BidScale!E47,4),""),"")</f>
        <v>57.5</v>
      </c>
      <c r="J47" s="10">
        <f>IF(ISNUMBER(BidScale!E47),IF(AND(BidScale!E47&gt;Lower,BidScale!E47&lt;Upper,ROUND(BidScale!E47+0.1,4)&gt;=Lower,ROUND(BidScale!E47+0.1,4)&lt;=Upper),ROUND(BidScale!E47+0.1,4),""),"")</f>
        <v>57.6</v>
      </c>
      <c r="K47" s="9">
        <f>IF(ISNUMBER(BidScale!F47),IF(AND(BidScale!F47&gt;Lower,BidScale!F47&lt;Upper,ROUND(BidScale!F47,4)&gt;=Lower,ROUND(BidScale!F47,4)&lt;=Upper),ROUND(BidScale!F47,4),""),"")</f>
        <v>67.5</v>
      </c>
      <c r="L47" s="10">
        <f>IF(ISNUMBER(BidScale!F47),IF(AND(BidScale!F47&gt;Lower,BidScale!F47&lt;Upper,ROUND(BidScale!F47+0.1,4)&gt;=Lower,ROUND(BidScale!F47+0.1,4)&lt;=Upper),ROUND(BidScale!F47+0.1,4),""),"")</f>
        <v>67.599999999999994</v>
      </c>
    </row>
    <row r="48" spans="1:12">
      <c r="A48" s="7">
        <f>IF(ISNUMBER(BidScale!A48),IF(AND(BidScale!A48&gt;Lower,BidScale!A48&lt;Upper,ROUND(BidScale!A48-0.1,4)&gt;=Lower,ROUND(BidScale!A48-0.1,4)&lt;=Upper),ROUND(BidScale!A48-0.1,4),""),"")</f>
        <v>9.9</v>
      </c>
      <c r="B48" s="8">
        <f>IF(ISNUMBER(BidScale!A48),IF(AND(BidScale!A48&gt;Lower,BidScale!A48&lt;Upper,ROUND(BidScale!A48,4)&gt;=Lower,ROUND(BidScale!A48,4)&lt;=Upper),ROUND(BidScale!A48,4),""),"")</f>
        <v>10</v>
      </c>
      <c r="C48" s="7">
        <f>IF(ISNUMBER(BidScale!B48),IF(AND(BidScale!B48&gt;Lower,BidScale!B48&lt;Upper,ROUND(BidScale!B48-0.1,4)&gt;=Lower,ROUND(BidScale!B48-0.1,4)&lt;=Upper),ROUND(BidScale!B48-0.1,4),""),"")</f>
        <v>19.899999999999999</v>
      </c>
      <c r="D48" s="8">
        <f>IF(ISNUMBER(BidScale!B48),IF(AND(BidScale!B48&gt;Lower,BidScale!B48&lt;Upper,ROUND(BidScale!B48,4)&gt;=Lower,ROUND(BidScale!B48,4)&lt;=Upper),ROUND(BidScale!B48,4),""),"")</f>
        <v>20</v>
      </c>
      <c r="E48" s="7">
        <f>IF(ISNUMBER(BidScale!C48),IF(AND(BidScale!C48&gt;Lower,BidScale!C48&lt;Upper,ROUND(BidScale!C48-0.1,4)&gt;=Lower,ROUND(BidScale!C48-0.1,4)&lt;=Upper),ROUND(BidScale!C48-0.1,4),""),"")</f>
        <v>29.9</v>
      </c>
      <c r="F48" s="8">
        <f>IF(ISNUMBER(BidScale!C48),IF(AND(BidScale!C48&gt;Lower,BidScale!C48&lt;Upper,ROUND(BidScale!C48,4)&gt;=Lower,ROUND(BidScale!C48,4)&lt;=Upper),ROUND(BidScale!C48,4),""),"")</f>
        <v>30</v>
      </c>
      <c r="G48" s="9">
        <f>IF(ISNUMBER(BidScale!D48),IF(AND(BidScale!D48&gt;Lower,BidScale!D48&lt;Upper,ROUND(BidScale!D48,4)&gt;=Lower,ROUND(BidScale!D48,4)&lt;=Upper),ROUND(BidScale!D48,4),""),"")</f>
        <v>40</v>
      </c>
      <c r="H48" s="10">
        <f>IF(ISNUMBER(BidScale!D48),IF(AND(BidScale!D48&gt;Lower,BidScale!D48&lt;Upper,ROUND(BidScale!D48+0.1,4)&gt;=Lower,ROUND(BidScale!D48+0.1,4)&lt;=Upper),ROUND(BidScale!D48+0.1,4),""),"")</f>
        <v>40.1</v>
      </c>
      <c r="I48" s="9">
        <f>IF(ISNUMBER(BidScale!E48),IF(AND(BidScale!E48&gt;Lower,BidScale!E48&lt;Upper,ROUND(BidScale!E48,4)&gt;=Lower,ROUND(BidScale!E48,4)&lt;=Upper),ROUND(BidScale!E48,4),""),"")</f>
        <v>50</v>
      </c>
      <c r="J48" s="10">
        <f>IF(ISNUMBER(BidScale!E48),IF(AND(BidScale!E48&gt;Lower,BidScale!E48&lt;Upper,ROUND(BidScale!E48+0.1,4)&gt;=Lower,ROUND(BidScale!E48+0.1,4)&lt;=Upper),ROUND(BidScale!E48+0.1,4),""),"")</f>
        <v>50.1</v>
      </c>
      <c r="K48" s="9">
        <f>IF(ISNUMBER(BidScale!F48),IF(AND(BidScale!F48&gt;Lower,BidScale!F48&lt;Upper,ROUND(BidScale!F48,4)&gt;=Lower,ROUND(BidScale!F48,4)&lt;=Upper),ROUND(BidScale!F48,4),""),"")</f>
        <v>60</v>
      </c>
      <c r="L48" s="10">
        <f>IF(ISNUMBER(BidScale!F48),IF(AND(BidScale!F48&gt;Lower,BidScale!F48&lt;Upper,ROUND(BidScale!F48+0.1,4)&gt;=Lower,ROUND(BidScale!F48+0.1,4)&lt;=Upper),ROUND(BidScale!F48+0.1,4),""),"")</f>
        <v>60.1</v>
      </c>
    </row>
    <row r="49" spans="1:12">
      <c r="A49" s="7">
        <f>IF(ISNUMBER(BidScale!A49),IF(AND(BidScale!A49&gt;Lower,BidScale!A49&lt;Upper,ROUND(BidScale!A49-0.1,4)&gt;=Lower,ROUND(BidScale!A49-0.1,4)&lt;=Upper),ROUND(BidScale!A49-0.1,4),""),"")</f>
        <v>4.9000000000000004</v>
      </c>
      <c r="B49" s="8">
        <f>IF(ISNUMBER(BidScale!A49),IF(AND(BidScale!A49&gt;Lower,BidScale!A49&lt;Upper,ROUND(BidScale!A49,4)&gt;=Lower,ROUND(BidScale!A49,4)&lt;=Upper),ROUND(BidScale!A49,4),""),"")</f>
        <v>5</v>
      </c>
      <c r="C49" s="7">
        <f>IF(ISNUMBER(BidScale!B49),IF(AND(BidScale!B49&gt;Lower,BidScale!B49&lt;Upper,ROUND(BidScale!B49-0.1,4)&gt;=Lower,ROUND(BidScale!B49-0.1,4)&lt;=Upper),ROUND(BidScale!B49-0.1,4),""),"")</f>
        <v>14.9</v>
      </c>
      <c r="D49" s="8">
        <f>IF(ISNUMBER(BidScale!B49),IF(AND(BidScale!B49&gt;Lower,BidScale!B49&lt;Upper,ROUND(BidScale!B49,4)&gt;=Lower,ROUND(BidScale!B49,4)&lt;=Upper),ROUND(BidScale!B49,4),""),"")</f>
        <v>15</v>
      </c>
      <c r="E49" s="7">
        <f>IF(ISNUMBER(BidScale!C49),IF(AND(BidScale!C49&gt;Lower,BidScale!C49&lt;Upper,ROUND(BidScale!C49-0.1,4)&gt;=Lower,ROUND(BidScale!C49-0.1,4)&lt;=Upper),ROUND(BidScale!C49-0.1,4),""),"")</f>
        <v>24.9</v>
      </c>
      <c r="F49" s="8">
        <f>IF(ISNUMBER(BidScale!C49),IF(AND(BidScale!C49&gt;Lower,BidScale!C49&lt;Upper,ROUND(BidScale!C49,4)&gt;=Lower,ROUND(BidScale!C49,4)&lt;=Upper),ROUND(BidScale!C49,4),""),"")</f>
        <v>25</v>
      </c>
      <c r="G49" s="9">
        <f>IF(ISNUMBER(BidScale!D49),IF(AND(BidScale!D49&gt;Lower,BidScale!D49&lt;Upper,ROUND(BidScale!D49,4)&gt;=Lower,ROUND(BidScale!D49,4)&lt;=Upper),ROUND(BidScale!D49,4),""),"")</f>
        <v>35</v>
      </c>
      <c r="H49" s="10">
        <f>IF(ISNUMBER(BidScale!D49),IF(AND(BidScale!D49&gt;Lower,BidScale!D49&lt;Upper,ROUND(BidScale!D49+0.1,4)&gt;=Lower,ROUND(BidScale!D49+0.1,4)&lt;=Upper),ROUND(BidScale!D49+0.1,4),""),"")</f>
        <v>35.1</v>
      </c>
      <c r="I49" s="9">
        <f>IF(ISNUMBER(BidScale!E49),IF(AND(BidScale!E49&gt;Lower,BidScale!E49&lt;Upper,ROUND(BidScale!E49,4)&gt;=Lower,ROUND(BidScale!E49,4)&lt;=Upper),ROUND(BidScale!E49,4),""),"")</f>
        <v>45</v>
      </c>
      <c r="J49" s="10">
        <f>IF(ISNUMBER(BidScale!E49),IF(AND(BidScale!E49&gt;Lower,BidScale!E49&lt;Upper,ROUND(BidScale!E49+0.1,4)&gt;=Lower,ROUND(BidScale!E49+0.1,4)&lt;=Upper),ROUND(BidScale!E49+0.1,4),""),"")</f>
        <v>45.1</v>
      </c>
      <c r="K49" s="9">
        <f>IF(ISNUMBER(BidScale!F49),IF(AND(BidScale!F49&gt;Lower,BidScale!F49&lt;Upper,ROUND(BidScale!F49,4)&gt;=Lower,ROUND(BidScale!F49,4)&lt;=Upper),ROUND(BidScale!F49,4),""),"")</f>
        <v>55</v>
      </c>
      <c r="L49" s="10">
        <f>IF(ISNUMBER(BidScale!F49),IF(AND(BidScale!F49&gt;Lower,BidScale!F49&lt;Upper,ROUND(BidScale!F49+0.1,4)&gt;=Lower,ROUND(BidScale!F49+0.1,4)&lt;=Upper),ROUND(BidScale!F49+0.1,4),""),"")</f>
        <v>55.1</v>
      </c>
    </row>
    <row r="50" spans="1:12">
      <c r="A50" s="7">
        <f>IF(ISNUMBER(BidScale!A50),IF(AND(BidScale!A50&gt;Lower,BidScale!A50&lt;Upper,ROUND(BidScale!A50-0.1,4)&gt;=Lower,ROUND(BidScale!A50-0.1,4)&lt;=Upper),ROUND(BidScale!A50-0.1,4),""),"")</f>
        <v>4.9000000000000004</v>
      </c>
      <c r="B50" s="8">
        <f>IF(ISNUMBER(BidScale!A50),IF(AND(BidScale!A50&gt;Lower,BidScale!A50&lt;Upper,ROUND(BidScale!A50,4)&gt;=Lower,ROUND(BidScale!A50,4)&lt;=Upper),ROUND(BidScale!A50,4),""),"")</f>
        <v>5</v>
      </c>
      <c r="C50" s="7">
        <f>IF(ISNUMBER(BidScale!B50),IF(AND(BidScale!B50&gt;Lower,BidScale!B50&lt;Upper,ROUND(BidScale!B50-0.1,4)&gt;=Lower,ROUND(BidScale!B50-0.1,4)&lt;=Upper),ROUND(BidScale!B50-0.1,4),""),"")</f>
        <v>14.9</v>
      </c>
      <c r="D50" s="8">
        <f>IF(ISNUMBER(BidScale!B50),IF(AND(BidScale!B50&gt;Lower,BidScale!B50&lt;Upper,ROUND(BidScale!B50,4)&gt;=Lower,ROUND(BidScale!B50,4)&lt;=Upper),ROUND(BidScale!B50,4),""),"")</f>
        <v>15</v>
      </c>
      <c r="E50" s="7">
        <f>IF(ISNUMBER(BidScale!C50),IF(AND(BidScale!C50&gt;Lower,BidScale!C50&lt;Upper,ROUND(BidScale!C50-0.1,4)&gt;=Lower,ROUND(BidScale!C50-0.1,4)&lt;=Upper),ROUND(BidScale!C50-0.1,4),""),"")</f>
        <v>24.9</v>
      </c>
      <c r="F50" s="8">
        <f>IF(ISNUMBER(BidScale!C50),IF(AND(BidScale!C50&gt;Lower,BidScale!C50&lt;Upper,ROUND(BidScale!C50,4)&gt;=Lower,ROUND(BidScale!C50,4)&lt;=Upper),ROUND(BidScale!C50,4),""),"")</f>
        <v>25</v>
      </c>
      <c r="G50" s="9">
        <f>IF(ISNUMBER(BidScale!D50),IF(AND(BidScale!D50&gt;Lower,BidScale!D50&lt;Upper,ROUND(BidScale!D50,4)&gt;=Lower,ROUND(BidScale!D50,4)&lt;=Upper),ROUND(BidScale!D50,4),""),"")</f>
        <v>35</v>
      </c>
      <c r="H50" s="10">
        <f>IF(ISNUMBER(BidScale!D50),IF(AND(BidScale!D50&gt;Lower,BidScale!D50&lt;Upper,ROUND(BidScale!D50+0.1,4)&gt;=Lower,ROUND(BidScale!D50+0.1,4)&lt;=Upper),ROUND(BidScale!D50+0.1,4),""),"")</f>
        <v>35.1</v>
      </c>
      <c r="I50" s="9">
        <f>IF(ISNUMBER(BidScale!E50),IF(AND(BidScale!E50&gt;Lower,BidScale!E50&lt;Upper,ROUND(BidScale!E50,4)&gt;=Lower,ROUND(BidScale!E50,4)&lt;=Upper),ROUND(BidScale!E50,4),""),"")</f>
        <v>45</v>
      </c>
      <c r="J50" s="10">
        <f>IF(ISNUMBER(BidScale!E50),IF(AND(BidScale!E50&gt;Lower,BidScale!E50&lt;Upper,ROUND(BidScale!E50+0.1,4)&gt;=Lower,ROUND(BidScale!E50+0.1,4)&lt;=Upper),ROUND(BidScale!E50+0.1,4),""),"")</f>
        <v>45.1</v>
      </c>
      <c r="K50" s="9">
        <f>IF(ISNUMBER(BidScale!F50),IF(AND(BidScale!F50&gt;Lower,BidScale!F50&lt;Upper,ROUND(BidScale!F50,4)&gt;=Lower,ROUND(BidScale!F50,4)&lt;=Upper),ROUND(BidScale!F50,4),""),"")</f>
        <v>55</v>
      </c>
      <c r="L50" s="10">
        <f>IF(ISNUMBER(BidScale!F50),IF(AND(BidScale!F50&gt;Lower,BidScale!F50&lt;Upper,ROUND(BidScale!F50+0.1,4)&gt;=Lower,ROUND(BidScale!F50+0.1,4)&lt;=Upper),ROUND(BidScale!F50+0.1,4),""),"")</f>
        <v>55.1</v>
      </c>
    </row>
    <row r="51" spans="1:12">
      <c r="A51" s="7">
        <f>IF(ISNUMBER(BidScale!A51),IF(AND(BidScale!A51&gt;Lower,BidScale!A51&lt;Upper,ROUND(BidScale!A51-0.1,4)&gt;=Lower,ROUND(BidScale!A51-0.1,4)&lt;=Upper),ROUND(BidScale!A51-0.1,4),""),"")</f>
        <v>4.9000000000000004</v>
      </c>
      <c r="B51" s="8">
        <f>IF(ISNUMBER(BidScale!A51),IF(AND(BidScale!A51&gt;Lower,BidScale!A51&lt;Upper,ROUND(BidScale!A51,4)&gt;=Lower,ROUND(BidScale!A51,4)&lt;=Upper),ROUND(BidScale!A51,4),""),"")</f>
        <v>5</v>
      </c>
      <c r="C51" s="7">
        <f>IF(ISNUMBER(BidScale!B51),IF(AND(BidScale!B51&gt;Lower,BidScale!B51&lt;Upper,ROUND(BidScale!B51-0.1,4)&gt;=Lower,ROUND(BidScale!B51-0.1,4)&lt;=Upper),ROUND(BidScale!B51-0.1,4),""),"")</f>
        <v>14.9</v>
      </c>
      <c r="D51" s="8">
        <f>IF(ISNUMBER(BidScale!B51),IF(AND(BidScale!B51&gt;Lower,BidScale!B51&lt;Upper,ROUND(BidScale!B51,4)&gt;=Lower,ROUND(BidScale!B51,4)&lt;=Upper),ROUND(BidScale!B51,4),""),"")</f>
        <v>15</v>
      </c>
      <c r="E51" s="7">
        <f>IF(ISNUMBER(BidScale!C51),IF(AND(BidScale!C51&gt;Lower,BidScale!C51&lt;Upper,ROUND(BidScale!C51-0.1,4)&gt;=Lower,ROUND(BidScale!C51-0.1,4)&lt;=Upper),ROUND(BidScale!C51-0.1,4),""),"")</f>
        <v>24.9</v>
      </c>
      <c r="F51" s="8">
        <f>IF(ISNUMBER(BidScale!C51),IF(AND(BidScale!C51&gt;Lower,BidScale!C51&lt;Upper,ROUND(BidScale!C51,4)&gt;=Lower,ROUND(BidScale!C51,4)&lt;=Upper),ROUND(BidScale!C51,4),""),"")</f>
        <v>25</v>
      </c>
      <c r="G51" s="9">
        <f>IF(ISNUMBER(BidScale!D51),IF(AND(BidScale!D51&gt;Lower,BidScale!D51&lt;Upper,ROUND(BidScale!D51,4)&gt;=Lower,ROUND(BidScale!D51,4)&lt;=Upper),ROUND(BidScale!D51,4),""),"")</f>
        <v>35</v>
      </c>
      <c r="H51" s="10">
        <f>IF(ISNUMBER(BidScale!D51),IF(AND(BidScale!D51&gt;Lower,BidScale!D51&lt;Upper,ROUND(BidScale!D51+0.1,4)&gt;=Lower,ROUND(BidScale!D51+0.1,4)&lt;=Upper),ROUND(BidScale!D51+0.1,4),""),"")</f>
        <v>35.1</v>
      </c>
      <c r="I51" s="9">
        <f>IF(ISNUMBER(BidScale!E51),IF(AND(BidScale!E51&gt;Lower,BidScale!E51&lt;Upper,ROUND(BidScale!E51,4)&gt;=Lower,ROUND(BidScale!E51,4)&lt;=Upper),ROUND(BidScale!E51,4),""),"")</f>
        <v>45</v>
      </c>
      <c r="J51" s="10">
        <f>IF(ISNUMBER(BidScale!E51),IF(AND(BidScale!E51&gt;Lower,BidScale!E51&lt;Upper,ROUND(BidScale!E51+0.1,4)&gt;=Lower,ROUND(BidScale!E51+0.1,4)&lt;=Upper),ROUND(BidScale!E51+0.1,4),""),"")</f>
        <v>45.1</v>
      </c>
      <c r="K51" s="9">
        <f>IF(ISNUMBER(BidScale!F51),IF(AND(BidScale!F51&gt;Lower,BidScale!F51&lt;Upper,ROUND(BidScale!F51,4)&gt;=Lower,ROUND(BidScale!F51,4)&lt;=Upper),ROUND(BidScale!F51,4),""),"")</f>
        <v>55</v>
      </c>
      <c r="L51" s="10">
        <f>IF(ISNUMBER(BidScale!F51),IF(AND(BidScale!F51&gt;Lower,BidScale!F51&lt;Upper,ROUND(BidScale!F51+0.1,4)&gt;=Lower,ROUND(BidScale!F51+0.1,4)&lt;=Upper),ROUND(BidScale!F51+0.1,4),""),"")</f>
        <v>55.1</v>
      </c>
    </row>
    <row r="52" spans="1:12">
      <c r="A52" s="7">
        <f>IF(ISNUMBER(BidScale!A52),IF(AND(BidScale!A52&gt;Lower,BidScale!A52&lt;Upper,ROUND(BidScale!A52-0.1,4)&gt;=Lower,ROUND(BidScale!A52-0.1,4)&lt;=Upper),ROUND(BidScale!A52-0.1,4),""),"")</f>
        <v>-0.1</v>
      </c>
      <c r="B52" s="8">
        <f>IF(ISNUMBER(BidScale!A52),IF(AND(BidScale!A52&gt;Lower,BidScale!A52&lt;Upper,ROUND(BidScale!A52,4)&gt;=Lower,ROUND(BidScale!A52,4)&lt;=Upper),ROUND(BidScale!A52,4),""),"")</f>
        <v>0</v>
      </c>
      <c r="C52" s="7">
        <f>IF(ISNUMBER(BidScale!B52),IF(AND(BidScale!B52&gt;Lower,BidScale!B52&lt;Upper,ROUND(BidScale!B52-0.1,4)&gt;=Lower,ROUND(BidScale!B52-0.1,4)&lt;=Upper),ROUND(BidScale!B52-0.1,4),""),"")</f>
        <v>9.9</v>
      </c>
      <c r="D52" s="8">
        <f>IF(ISNUMBER(BidScale!B52),IF(AND(BidScale!B52&gt;Lower,BidScale!B52&lt;Upper,ROUND(BidScale!B52,4)&gt;=Lower,ROUND(BidScale!B52,4)&lt;=Upper),ROUND(BidScale!B52,4),""),"")</f>
        <v>10</v>
      </c>
      <c r="E52" s="7">
        <f>IF(ISNUMBER(BidScale!C52),IF(AND(BidScale!C52&gt;Lower,BidScale!C52&lt;Upper,ROUND(BidScale!C52-0.1,4)&gt;=Lower,ROUND(BidScale!C52-0.1,4)&lt;=Upper),ROUND(BidScale!C52-0.1,4),""),"")</f>
        <v>19.899999999999999</v>
      </c>
      <c r="F52" s="8">
        <f>IF(ISNUMBER(BidScale!C52),IF(AND(BidScale!C52&gt;Lower,BidScale!C52&lt;Upper,ROUND(BidScale!C52,4)&gt;=Lower,ROUND(BidScale!C52,4)&lt;=Upper),ROUND(BidScale!C52,4),""),"")</f>
        <v>20</v>
      </c>
      <c r="G52" s="9">
        <f>IF(ISNUMBER(BidScale!D52),IF(AND(BidScale!D52&gt;Lower,BidScale!D52&lt;Upper,ROUND(BidScale!D52,4)&gt;=Lower,ROUND(BidScale!D52,4)&lt;=Upper),ROUND(BidScale!D52,4),""),"")</f>
        <v>30</v>
      </c>
      <c r="H52" s="10">
        <f>IF(ISNUMBER(BidScale!D52),IF(AND(BidScale!D52&gt;Lower,BidScale!D52&lt;Upper,ROUND(BidScale!D52+0.1,4)&gt;=Lower,ROUND(BidScale!D52+0.1,4)&lt;=Upper),ROUND(BidScale!D52+0.1,4),""),"")</f>
        <v>30.1</v>
      </c>
      <c r="I52" s="9">
        <f>IF(ISNUMBER(BidScale!E52),IF(AND(BidScale!E52&gt;Lower,BidScale!E52&lt;Upper,ROUND(BidScale!E52,4)&gt;=Lower,ROUND(BidScale!E52,4)&lt;=Upper),ROUND(BidScale!E52,4),""),"")</f>
        <v>40</v>
      </c>
      <c r="J52" s="10">
        <f>IF(ISNUMBER(BidScale!E52),IF(AND(BidScale!E52&gt;Lower,BidScale!E52&lt;Upper,ROUND(BidScale!E52+0.1,4)&gt;=Lower,ROUND(BidScale!E52+0.1,4)&lt;=Upper),ROUND(BidScale!E52+0.1,4),""),"")</f>
        <v>40.1</v>
      </c>
      <c r="K52" s="9">
        <f>IF(ISNUMBER(BidScale!F52),IF(AND(BidScale!F52&gt;Lower,BidScale!F52&lt;Upper,ROUND(BidScale!F52,4)&gt;=Lower,ROUND(BidScale!F52,4)&lt;=Upper),ROUND(BidScale!F52,4),""),"")</f>
        <v>50</v>
      </c>
      <c r="L52" s="10">
        <f>IF(ISNUMBER(BidScale!F52),IF(AND(BidScale!F52&gt;Lower,BidScale!F52&lt;Upper,ROUND(BidScale!F52+0.1,4)&gt;=Lower,ROUND(BidScale!F52+0.1,4)&lt;=Upper),ROUND(BidScale!F52+0.1,4),""),"")</f>
        <v>50.1</v>
      </c>
    </row>
    <row r="53" spans="1:12">
      <c r="A53" s="7">
        <f>IF(ISNUMBER(BidScale!A53),IF(AND(BidScale!A53&gt;Lower,BidScale!A53&lt;Upper,ROUND(BidScale!A53-0.1,4)&gt;=Lower,ROUND(BidScale!A53-0.1,4)&lt;=Upper),ROUND(BidScale!A53-0.1,4),""),"")</f>
        <v>-5.0999999999999996</v>
      </c>
      <c r="B53" s="8">
        <f>IF(ISNUMBER(BidScale!A53),IF(AND(BidScale!A53&gt;Lower,BidScale!A53&lt;Upper,ROUND(BidScale!A53,4)&gt;=Lower,ROUND(BidScale!A53,4)&lt;=Upper),ROUND(BidScale!A53,4),""),"")</f>
        <v>-5</v>
      </c>
      <c r="C53" s="7">
        <f>IF(ISNUMBER(BidScale!B53),IF(AND(BidScale!B53&gt;Lower,BidScale!B53&lt;Upper,ROUND(BidScale!B53-0.1,4)&gt;=Lower,ROUND(BidScale!B53-0.1,4)&lt;=Upper),ROUND(BidScale!B53-0.1,4),""),"")</f>
        <v>4.9000000000000004</v>
      </c>
      <c r="D53" s="8">
        <f>IF(ISNUMBER(BidScale!B53),IF(AND(BidScale!B53&gt;Lower,BidScale!B53&lt;Upper,ROUND(BidScale!B53,4)&gt;=Lower,ROUND(BidScale!B53,4)&lt;=Upper),ROUND(BidScale!B53,4),""),"")</f>
        <v>5</v>
      </c>
      <c r="E53" s="7">
        <f>IF(ISNUMBER(BidScale!C53),IF(AND(BidScale!C53&gt;Lower,BidScale!C53&lt;Upper,ROUND(BidScale!C53-0.1,4)&gt;=Lower,ROUND(BidScale!C53-0.1,4)&lt;=Upper),ROUND(BidScale!C53-0.1,4),""),"")</f>
        <v>14.9</v>
      </c>
      <c r="F53" s="8">
        <f>IF(ISNUMBER(BidScale!C53),IF(AND(BidScale!C53&gt;Lower,BidScale!C53&lt;Upper,ROUND(BidScale!C53,4)&gt;=Lower,ROUND(BidScale!C53,4)&lt;=Upper),ROUND(BidScale!C53,4),""),"")</f>
        <v>15</v>
      </c>
      <c r="G53" s="9">
        <f>IF(ISNUMBER(BidScale!D53),IF(AND(BidScale!D53&gt;Lower,BidScale!D53&lt;Upper,ROUND(BidScale!D53,4)&gt;=Lower,ROUND(BidScale!D53,4)&lt;=Upper),ROUND(BidScale!D53,4),""),"")</f>
        <v>25</v>
      </c>
      <c r="H53" s="10">
        <f>IF(ISNUMBER(BidScale!D53),IF(AND(BidScale!D53&gt;Lower,BidScale!D53&lt;Upper,ROUND(BidScale!D53+0.1,4)&gt;=Lower,ROUND(BidScale!D53+0.1,4)&lt;=Upper),ROUND(BidScale!D53+0.1,4),""),"")</f>
        <v>25.1</v>
      </c>
      <c r="I53" s="9">
        <f>IF(ISNUMBER(BidScale!E53),IF(AND(BidScale!E53&gt;Lower,BidScale!E53&lt;Upper,ROUND(BidScale!E53,4)&gt;=Lower,ROUND(BidScale!E53,4)&lt;=Upper),ROUND(BidScale!E53,4),""),"")</f>
        <v>35</v>
      </c>
      <c r="J53" s="10">
        <f>IF(ISNUMBER(BidScale!E53),IF(AND(BidScale!E53&gt;Lower,BidScale!E53&lt;Upper,ROUND(BidScale!E53+0.1,4)&gt;=Lower,ROUND(BidScale!E53+0.1,4)&lt;=Upper),ROUND(BidScale!E53+0.1,4),""),"")</f>
        <v>35.1</v>
      </c>
      <c r="K53" s="9">
        <f>IF(ISNUMBER(BidScale!F53),IF(AND(BidScale!F53&gt;Lower,BidScale!F53&lt;Upper,ROUND(BidScale!F53,4)&gt;=Lower,ROUND(BidScale!F53,4)&lt;=Upper),ROUND(BidScale!F53,4),""),"")</f>
        <v>45</v>
      </c>
      <c r="L53" s="10">
        <f>IF(ISNUMBER(BidScale!F53),IF(AND(BidScale!F53&gt;Lower,BidScale!F53&lt;Upper,ROUND(BidScale!F53+0.1,4)&gt;=Lower,ROUND(BidScale!F53+0.1,4)&lt;=Upper),ROUND(BidScale!F53+0.1,4),""),"")</f>
        <v>45.1</v>
      </c>
    </row>
    <row r="54" spans="1:12">
      <c r="A54" s="7">
        <f>IF(ISNUMBER(BidScale!A54),IF(AND(BidScale!A54&gt;Lower,BidScale!A54&lt;Upper,ROUND(BidScale!A54-0.1,4)&gt;=Lower,ROUND(BidScale!A54-0.1,4)&lt;=Upper),ROUND(BidScale!A54-0.1,4),""),"")</f>
        <v>-5.0999999999999996</v>
      </c>
      <c r="B54" s="8">
        <f>IF(ISNUMBER(BidScale!A54),IF(AND(BidScale!A54&gt;Lower,BidScale!A54&lt;Upper,ROUND(BidScale!A54,4)&gt;=Lower,ROUND(BidScale!A54,4)&lt;=Upper),ROUND(BidScale!A54,4),""),"")</f>
        <v>-5</v>
      </c>
      <c r="C54" s="7">
        <f>IF(ISNUMBER(BidScale!B54),IF(AND(BidScale!B54&gt;Lower,BidScale!B54&lt;Upper,ROUND(BidScale!B54-0.1,4)&gt;=Lower,ROUND(BidScale!B54-0.1,4)&lt;=Upper),ROUND(BidScale!B54-0.1,4),""),"")</f>
        <v>4.9000000000000004</v>
      </c>
      <c r="D54" s="8">
        <f>IF(ISNUMBER(BidScale!B54),IF(AND(BidScale!B54&gt;Lower,BidScale!B54&lt;Upper,ROUND(BidScale!B54,4)&gt;=Lower,ROUND(BidScale!B54,4)&lt;=Upper),ROUND(BidScale!B54,4),""),"")</f>
        <v>5</v>
      </c>
      <c r="E54" s="7">
        <f>IF(ISNUMBER(BidScale!C54),IF(AND(BidScale!C54&gt;Lower,BidScale!C54&lt;Upper,ROUND(BidScale!C54-0.1,4)&gt;=Lower,ROUND(BidScale!C54-0.1,4)&lt;=Upper),ROUND(BidScale!C54-0.1,4),""),"")</f>
        <v>14.9</v>
      </c>
      <c r="F54" s="8">
        <f>IF(ISNUMBER(BidScale!C54),IF(AND(BidScale!C54&gt;Lower,BidScale!C54&lt;Upper,ROUND(BidScale!C54,4)&gt;=Lower,ROUND(BidScale!C54,4)&lt;=Upper),ROUND(BidScale!C54,4),""),"")</f>
        <v>15</v>
      </c>
      <c r="G54" s="9">
        <f>IF(ISNUMBER(BidScale!D54),IF(AND(BidScale!D54&gt;Lower,BidScale!D54&lt;Upper,ROUND(BidScale!D54,4)&gt;=Lower,ROUND(BidScale!D54,4)&lt;=Upper),ROUND(BidScale!D54,4),""),"")</f>
        <v>25</v>
      </c>
      <c r="H54" s="10">
        <f>IF(ISNUMBER(BidScale!D54),IF(AND(BidScale!D54&gt;Lower,BidScale!D54&lt;Upper,ROUND(BidScale!D54+0.1,4)&gt;=Lower,ROUND(BidScale!D54+0.1,4)&lt;=Upper),ROUND(BidScale!D54+0.1,4),""),"")</f>
        <v>25.1</v>
      </c>
      <c r="I54" s="9">
        <f>IF(ISNUMBER(BidScale!E54),IF(AND(BidScale!E54&gt;Lower,BidScale!E54&lt;Upper,ROUND(BidScale!E54,4)&gt;=Lower,ROUND(BidScale!E54,4)&lt;=Upper),ROUND(BidScale!E54,4),""),"")</f>
        <v>35</v>
      </c>
      <c r="J54" s="10">
        <f>IF(ISNUMBER(BidScale!E54),IF(AND(BidScale!E54&gt;Lower,BidScale!E54&lt;Upper,ROUND(BidScale!E54+0.1,4)&gt;=Lower,ROUND(BidScale!E54+0.1,4)&lt;=Upper),ROUND(BidScale!E54+0.1,4),""),"")</f>
        <v>35.1</v>
      </c>
      <c r="K54" s="9">
        <f>IF(ISNUMBER(BidScale!F54),IF(AND(BidScale!F54&gt;Lower,BidScale!F54&lt;Upper,ROUND(BidScale!F54,4)&gt;=Lower,ROUND(BidScale!F54,4)&lt;=Upper),ROUND(BidScale!F54,4),""),"")</f>
        <v>45</v>
      </c>
      <c r="L54" s="10">
        <f>IF(ISNUMBER(BidScale!F54),IF(AND(BidScale!F54&gt;Lower,BidScale!F54&lt;Upper,ROUND(BidScale!F54+0.1,4)&gt;=Lower,ROUND(BidScale!F54+0.1,4)&lt;=Upper),ROUND(BidScale!F54+0.1,4),""),"")</f>
        <v>45.1</v>
      </c>
    </row>
    <row r="55" spans="1:12">
      <c r="A55" s="7">
        <f>IF(ISNUMBER(BidScale!A55),IF(AND(BidScale!A55&gt;Lower,BidScale!A55&lt;Upper,ROUND(BidScale!A55-0.1,4)&gt;=Lower,ROUND(BidScale!A55-0.1,4)&lt;=Upper),ROUND(BidScale!A55-0.1,4),""),"")</f>
        <v>-2.6</v>
      </c>
      <c r="B55" s="8">
        <f>IF(ISNUMBER(BidScale!A55),IF(AND(BidScale!A55&gt;Lower,BidScale!A55&lt;Upper,ROUND(BidScale!A55,4)&gt;=Lower,ROUND(BidScale!A55,4)&lt;=Upper),ROUND(BidScale!A55,4),""),"")</f>
        <v>-2.5</v>
      </c>
      <c r="C55" s="7">
        <f>IF(ISNUMBER(BidScale!B55),IF(AND(BidScale!B55&gt;Lower,BidScale!B55&lt;Upper,ROUND(BidScale!B55-0.1,4)&gt;=Lower,ROUND(BidScale!B55-0.1,4)&lt;=Upper),ROUND(BidScale!B55-0.1,4),""),"")</f>
        <v>7.4</v>
      </c>
      <c r="D55" s="8">
        <f>IF(ISNUMBER(BidScale!B55),IF(AND(BidScale!B55&gt;Lower,BidScale!B55&lt;Upper,ROUND(BidScale!B55,4)&gt;=Lower,ROUND(BidScale!B55,4)&lt;=Upper),ROUND(BidScale!B55,4),""),"")</f>
        <v>7.5</v>
      </c>
      <c r="E55" s="7">
        <f>IF(ISNUMBER(BidScale!C55),IF(AND(BidScale!C55&gt;Lower,BidScale!C55&lt;Upper,ROUND(BidScale!C55-0.1,4)&gt;=Lower,ROUND(BidScale!C55-0.1,4)&lt;=Upper),ROUND(BidScale!C55-0.1,4),""),"")</f>
        <v>17.399999999999999</v>
      </c>
      <c r="F55" s="8">
        <f>IF(ISNUMBER(BidScale!C55),IF(AND(BidScale!C55&gt;Lower,BidScale!C55&lt;Upper,ROUND(BidScale!C55,4)&gt;=Lower,ROUND(BidScale!C55,4)&lt;=Upper),ROUND(BidScale!C55,4),""),"")</f>
        <v>17.5</v>
      </c>
      <c r="G55" s="9">
        <f>IF(ISNUMBER(BidScale!D55),IF(AND(BidScale!D55&gt;Lower,BidScale!D55&lt;Upper,ROUND(BidScale!D55,4)&gt;=Lower,ROUND(BidScale!D55,4)&lt;=Upper),ROUND(BidScale!D55,4),""),"")</f>
        <v>27.5</v>
      </c>
      <c r="H55" s="10">
        <f>IF(ISNUMBER(BidScale!D55),IF(AND(BidScale!D55&gt;Lower,BidScale!D55&lt;Upper,ROUND(BidScale!D55+0.1,4)&gt;=Lower,ROUND(BidScale!D55+0.1,4)&lt;=Upper),ROUND(BidScale!D55+0.1,4),""),"")</f>
        <v>27.6</v>
      </c>
      <c r="I55" s="9">
        <f>IF(ISNUMBER(BidScale!E55),IF(AND(BidScale!E55&gt;Lower,BidScale!E55&lt;Upper,ROUND(BidScale!E55,4)&gt;=Lower,ROUND(BidScale!E55,4)&lt;=Upper),ROUND(BidScale!E55,4),""),"")</f>
        <v>37.5</v>
      </c>
      <c r="J55" s="10">
        <f>IF(ISNUMBER(BidScale!E55),IF(AND(BidScale!E55&gt;Lower,BidScale!E55&lt;Upper,ROUND(BidScale!E55+0.1,4)&gt;=Lower,ROUND(BidScale!E55+0.1,4)&lt;=Upper),ROUND(BidScale!E55+0.1,4),""),"")</f>
        <v>37.6</v>
      </c>
      <c r="K55" s="9">
        <f>IF(ISNUMBER(BidScale!F55),IF(AND(BidScale!F55&gt;Lower,BidScale!F55&lt;Upper,ROUND(BidScale!F55,4)&gt;=Lower,ROUND(BidScale!F55,4)&lt;=Upper),ROUND(BidScale!F55,4),""),"")</f>
        <v>47.5</v>
      </c>
      <c r="L55" s="10">
        <f>IF(ISNUMBER(BidScale!F55),IF(AND(BidScale!F55&gt;Lower,BidScale!F55&lt;Upper,ROUND(BidScale!F55+0.1,4)&gt;=Lower,ROUND(BidScale!F55+0.1,4)&lt;=Upper),ROUND(BidScale!F55+0.1,4),""),"")</f>
        <v>47.6</v>
      </c>
    </row>
    <row r="56" spans="1:12">
      <c r="A56" s="7">
        <f>IF(ISNUMBER(BidScale!A56),IF(AND(BidScale!A56&gt;Lower,BidScale!A56&lt;Upper,ROUND(BidScale!A56-0.1,4)&gt;=Lower,ROUND(BidScale!A56-0.1,4)&lt;=Upper),ROUND(BidScale!A56-0.1,4),""),"")</f>
        <v>-5.0999999999999996</v>
      </c>
      <c r="B56" s="8">
        <f>IF(ISNUMBER(BidScale!A56),IF(AND(BidScale!A56&gt;Lower,BidScale!A56&lt;Upper,ROUND(BidScale!A56,4)&gt;=Lower,ROUND(BidScale!A56,4)&lt;=Upper),ROUND(BidScale!A56,4),""),"")</f>
        <v>-5</v>
      </c>
      <c r="C56" s="7">
        <f>IF(ISNUMBER(BidScale!B56),IF(AND(BidScale!B56&gt;Lower,BidScale!B56&lt;Upper,ROUND(BidScale!B56-0.1,4)&gt;=Lower,ROUND(BidScale!B56-0.1,4)&lt;=Upper),ROUND(BidScale!B56-0.1,4),""),"")</f>
        <v>4.9000000000000004</v>
      </c>
      <c r="D56" s="8">
        <f>IF(ISNUMBER(BidScale!B56),IF(AND(BidScale!B56&gt;Lower,BidScale!B56&lt;Upper,ROUND(BidScale!B56,4)&gt;=Lower,ROUND(BidScale!B56,4)&lt;=Upper),ROUND(BidScale!B56,4),""),"")</f>
        <v>5</v>
      </c>
      <c r="E56" s="7">
        <f>IF(ISNUMBER(BidScale!C56),IF(AND(BidScale!C56&gt;Lower,BidScale!C56&lt;Upper,ROUND(BidScale!C56-0.1,4)&gt;=Lower,ROUND(BidScale!C56-0.1,4)&lt;=Upper),ROUND(BidScale!C56-0.1,4),""),"")</f>
        <v>14.9</v>
      </c>
      <c r="F56" s="8">
        <f>IF(ISNUMBER(BidScale!C56),IF(AND(BidScale!C56&gt;Lower,BidScale!C56&lt;Upper,ROUND(BidScale!C56,4)&gt;=Lower,ROUND(BidScale!C56,4)&lt;=Upper),ROUND(BidScale!C56,4),""),"")</f>
        <v>15</v>
      </c>
      <c r="G56" s="9">
        <f>IF(ISNUMBER(BidScale!D56),IF(AND(BidScale!D56&gt;Lower,BidScale!D56&lt;Upper,ROUND(BidScale!D56,4)&gt;=Lower,ROUND(BidScale!D56,4)&lt;=Upper),ROUND(BidScale!D56,4),""),"")</f>
        <v>25</v>
      </c>
      <c r="H56" s="10">
        <f>IF(ISNUMBER(BidScale!D56),IF(AND(BidScale!D56&gt;Lower,BidScale!D56&lt;Upper,ROUND(BidScale!D56+0.1,4)&gt;=Lower,ROUND(BidScale!D56+0.1,4)&lt;=Upper),ROUND(BidScale!D56+0.1,4),""),"")</f>
        <v>25.1</v>
      </c>
      <c r="I56" s="9">
        <f>IF(ISNUMBER(BidScale!E56),IF(AND(BidScale!E56&gt;Lower,BidScale!E56&lt;Upper,ROUND(BidScale!E56,4)&gt;=Lower,ROUND(BidScale!E56,4)&lt;=Upper),ROUND(BidScale!E56,4),""),"")</f>
        <v>35</v>
      </c>
      <c r="J56" s="10">
        <f>IF(ISNUMBER(BidScale!E56),IF(AND(BidScale!E56&gt;Lower,BidScale!E56&lt;Upper,ROUND(BidScale!E56+0.1,4)&gt;=Lower,ROUND(BidScale!E56+0.1,4)&lt;=Upper),ROUND(BidScale!E56+0.1,4),""),"")</f>
        <v>35.1</v>
      </c>
      <c r="K56" s="9">
        <f>IF(ISNUMBER(BidScale!F56),IF(AND(BidScale!F56&gt;Lower,BidScale!F56&lt;Upper,ROUND(BidScale!F56,4)&gt;=Lower,ROUND(BidScale!F56,4)&lt;=Upper),ROUND(BidScale!F56,4),""),"")</f>
        <v>45</v>
      </c>
      <c r="L56" s="10">
        <f>IF(ISNUMBER(BidScale!F56),IF(AND(BidScale!F56&gt;Lower,BidScale!F56&lt;Upper,ROUND(BidScale!F56+0.1,4)&gt;=Lower,ROUND(BidScale!F56+0.1,4)&lt;=Upper),ROUND(BidScale!F56+0.1,4),""),"")</f>
        <v>45.1</v>
      </c>
    </row>
    <row r="57" spans="1:12">
      <c r="A57" s="7">
        <f>IF(ISNUMBER(BidScale!A57),IF(AND(BidScale!A57&gt;Lower,BidScale!A57&lt;Upper,ROUND(BidScale!A57-0.1,4)&gt;=Lower,ROUND(BidScale!A57-0.1,4)&lt;=Upper),ROUND(BidScale!A57-0.1,4),""),"")</f>
        <v>-7.6</v>
      </c>
      <c r="B57" s="8">
        <f>IF(ISNUMBER(BidScale!A57),IF(AND(BidScale!A57&gt;Lower,BidScale!A57&lt;Upper,ROUND(BidScale!A57,4)&gt;=Lower,ROUND(BidScale!A57,4)&lt;=Upper),ROUND(BidScale!A57,4),""),"")</f>
        <v>-7.5</v>
      </c>
      <c r="C57" s="7">
        <f>IF(ISNUMBER(BidScale!B57),IF(AND(BidScale!B57&gt;Lower,BidScale!B57&lt;Upper,ROUND(BidScale!B57-0.1,4)&gt;=Lower,ROUND(BidScale!B57-0.1,4)&lt;=Upper),ROUND(BidScale!B57-0.1,4),""),"")</f>
        <v>2.4</v>
      </c>
      <c r="D57" s="8">
        <f>IF(ISNUMBER(BidScale!B57),IF(AND(BidScale!B57&gt;Lower,BidScale!B57&lt;Upper,ROUND(BidScale!B57,4)&gt;=Lower,ROUND(BidScale!B57,4)&lt;=Upper),ROUND(BidScale!B57,4),""),"")</f>
        <v>2.5</v>
      </c>
      <c r="E57" s="7">
        <f>IF(ISNUMBER(BidScale!C57),IF(AND(BidScale!C57&gt;Lower,BidScale!C57&lt;Upper,ROUND(BidScale!C57-0.1,4)&gt;=Lower,ROUND(BidScale!C57-0.1,4)&lt;=Upper),ROUND(BidScale!C57-0.1,4),""),"")</f>
        <v>12.4</v>
      </c>
      <c r="F57" s="8">
        <f>IF(ISNUMBER(BidScale!C57),IF(AND(BidScale!C57&gt;Lower,BidScale!C57&lt;Upper,ROUND(BidScale!C57,4)&gt;=Lower,ROUND(BidScale!C57,4)&lt;=Upper),ROUND(BidScale!C57,4),""),"")</f>
        <v>12.5</v>
      </c>
      <c r="G57" s="9">
        <f>IF(ISNUMBER(BidScale!D57),IF(AND(BidScale!D57&gt;Lower,BidScale!D57&lt;Upper,ROUND(BidScale!D57,4)&gt;=Lower,ROUND(BidScale!D57,4)&lt;=Upper),ROUND(BidScale!D57,4),""),"")</f>
        <v>22.5</v>
      </c>
      <c r="H57" s="10">
        <f>IF(ISNUMBER(BidScale!D57),IF(AND(BidScale!D57&gt;Lower,BidScale!D57&lt;Upper,ROUND(BidScale!D57+0.1,4)&gt;=Lower,ROUND(BidScale!D57+0.1,4)&lt;=Upper),ROUND(BidScale!D57+0.1,4),""),"")</f>
        <v>22.6</v>
      </c>
      <c r="I57" s="9">
        <f>IF(ISNUMBER(BidScale!E57),IF(AND(BidScale!E57&gt;Lower,BidScale!E57&lt;Upper,ROUND(BidScale!E57,4)&gt;=Lower,ROUND(BidScale!E57,4)&lt;=Upper),ROUND(BidScale!E57,4),""),"")</f>
        <v>32.5</v>
      </c>
      <c r="J57" s="10">
        <f>IF(ISNUMBER(BidScale!E57),IF(AND(BidScale!E57&gt;Lower,BidScale!E57&lt;Upper,ROUND(BidScale!E57+0.1,4)&gt;=Lower,ROUND(BidScale!E57+0.1,4)&lt;=Upper),ROUND(BidScale!E57+0.1,4),""),"")</f>
        <v>32.6</v>
      </c>
      <c r="K57" s="9">
        <f>IF(ISNUMBER(BidScale!F57),IF(AND(BidScale!F57&gt;Lower,BidScale!F57&lt;Upper,ROUND(BidScale!F57,4)&gt;=Lower,ROUND(BidScale!F57,4)&lt;=Upper),ROUND(BidScale!F57,4),""),"")</f>
        <v>42.5</v>
      </c>
      <c r="L57" s="10">
        <f>IF(ISNUMBER(BidScale!F57),IF(AND(BidScale!F57&gt;Lower,BidScale!F57&lt;Upper,ROUND(BidScale!F57+0.1,4)&gt;=Lower,ROUND(BidScale!F57+0.1,4)&lt;=Upper),ROUND(BidScale!F57+0.1,4),""),"")</f>
        <v>42.6</v>
      </c>
    </row>
    <row r="58" spans="1:12">
      <c r="A58" s="7">
        <f>IF(ISNUMBER(BidScale!A58),IF(AND(BidScale!A58&gt;Lower,BidScale!A58&lt;Upper,ROUND(BidScale!A58-0.1,4)&gt;=Lower,ROUND(BidScale!A58-0.1,4)&lt;=Upper),ROUND(BidScale!A58-0.1,4),""),"")</f>
        <v>-5.0999999999999996</v>
      </c>
      <c r="B58" s="8">
        <f>IF(ISNUMBER(BidScale!A58),IF(AND(BidScale!A58&gt;Lower,BidScale!A58&lt;Upper,ROUND(BidScale!A58,4)&gt;=Lower,ROUND(BidScale!A58,4)&lt;=Upper),ROUND(BidScale!A58,4),""),"")</f>
        <v>-5</v>
      </c>
      <c r="C58" s="7">
        <f>IF(ISNUMBER(BidScale!B58),IF(AND(BidScale!B58&gt;Lower,BidScale!B58&lt;Upper,ROUND(BidScale!B58-0.1,4)&gt;=Lower,ROUND(BidScale!B58-0.1,4)&lt;=Upper),ROUND(BidScale!B58-0.1,4),""),"")</f>
        <v>4.9000000000000004</v>
      </c>
      <c r="D58" s="8">
        <f>IF(ISNUMBER(BidScale!B58),IF(AND(BidScale!B58&gt;Lower,BidScale!B58&lt;Upper,ROUND(BidScale!B58,4)&gt;=Lower,ROUND(BidScale!B58,4)&lt;=Upper),ROUND(BidScale!B58,4),""),"")</f>
        <v>5</v>
      </c>
      <c r="E58" s="7">
        <f>IF(ISNUMBER(BidScale!C58),IF(AND(BidScale!C58&gt;Lower,BidScale!C58&lt;Upper,ROUND(BidScale!C58-0.1,4)&gt;=Lower,ROUND(BidScale!C58-0.1,4)&lt;=Upper),ROUND(BidScale!C58-0.1,4),""),"")</f>
        <v>14.9</v>
      </c>
      <c r="F58" s="8">
        <f>IF(ISNUMBER(BidScale!C58),IF(AND(BidScale!C58&gt;Lower,BidScale!C58&lt;Upper,ROUND(BidScale!C58,4)&gt;=Lower,ROUND(BidScale!C58,4)&lt;=Upper),ROUND(BidScale!C58,4),""),"")</f>
        <v>15</v>
      </c>
      <c r="G58" s="9">
        <f>IF(ISNUMBER(BidScale!D58),IF(AND(BidScale!D58&gt;Lower,BidScale!D58&lt;Upper,ROUND(BidScale!D58,4)&gt;=Lower,ROUND(BidScale!D58,4)&lt;=Upper),ROUND(BidScale!D58,4),""),"")</f>
        <v>25</v>
      </c>
      <c r="H58" s="10">
        <f>IF(ISNUMBER(BidScale!D58),IF(AND(BidScale!D58&gt;Lower,BidScale!D58&lt;Upper,ROUND(BidScale!D58+0.1,4)&gt;=Lower,ROUND(BidScale!D58+0.1,4)&lt;=Upper),ROUND(BidScale!D58+0.1,4),""),"")</f>
        <v>25.1</v>
      </c>
      <c r="I58" s="9">
        <f>IF(ISNUMBER(BidScale!E58),IF(AND(BidScale!E58&gt;Lower,BidScale!E58&lt;Upper,ROUND(BidScale!E58,4)&gt;=Lower,ROUND(BidScale!E58,4)&lt;=Upper),ROUND(BidScale!E58,4),""),"")</f>
        <v>35</v>
      </c>
      <c r="J58" s="10">
        <f>IF(ISNUMBER(BidScale!E58),IF(AND(BidScale!E58&gt;Lower,BidScale!E58&lt;Upper,ROUND(BidScale!E58+0.1,4)&gt;=Lower,ROUND(BidScale!E58+0.1,4)&lt;=Upper),ROUND(BidScale!E58+0.1,4),""),"")</f>
        <v>35.1</v>
      </c>
      <c r="K58" s="9">
        <f>IF(ISNUMBER(BidScale!F58),IF(AND(BidScale!F58&gt;Lower,BidScale!F58&lt;Upper,ROUND(BidScale!F58,4)&gt;=Lower,ROUND(BidScale!F58,4)&lt;=Upper),ROUND(BidScale!F58,4),""),"")</f>
        <v>45</v>
      </c>
      <c r="L58" s="10">
        <f>IF(ISNUMBER(BidScale!F58),IF(AND(BidScale!F58&gt;Lower,BidScale!F58&lt;Upper,ROUND(BidScale!F58+0.1,4)&gt;=Lower,ROUND(BidScale!F58+0.1,4)&lt;=Upper),ROUND(BidScale!F58+0.1,4),""),"")</f>
        <v>45.1</v>
      </c>
    </row>
    <row r="59" spans="1:12">
      <c r="A59" s="7">
        <f>IF(ISNUMBER(BidScale!A59),IF(AND(BidScale!A59&gt;Lower,BidScale!A59&lt;Upper,ROUND(BidScale!A59-0.1,4)&gt;=Lower,ROUND(BidScale!A59-0.1,4)&lt;=Upper),ROUND(BidScale!A59-0.1,4),""),"")</f>
        <v>-0.1</v>
      </c>
      <c r="B59" s="8">
        <f>IF(ISNUMBER(BidScale!A59),IF(AND(BidScale!A59&gt;Lower,BidScale!A59&lt;Upper,ROUND(BidScale!A59,4)&gt;=Lower,ROUND(BidScale!A59,4)&lt;=Upper),ROUND(BidScale!A59,4),""),"")</f>
        <v>0</v>
      </c>
      <c r="C59" s="7">
        <f>IF(ISNUMBER(BidScale!B59),IF(AND(BidScale!B59&gt;Lower,BidScale!B59&lt;Upper,ROUND(BidScale!B59-0.1,4)&gt;=Lower,ROUND(BidScale!B59-0.1,4)&lt;=Upper),ROUND(BidScale!B59-0.1,4),""),"")</f>
        <v>9.9</v>
      </c>
      <c r="D59" s="8">
        <f>IF(ISNUMBER(BidScale!B59),IF(AND(BidScale!B59&gt;Lower,BidScale!B59&lt;Upper,ROUND(BidScale!B59,4)&gt;=Lower,ROUND(BidScale!B59,4)&lt;=Upper),ROUND(BidScale!B59,4),""),"")</f>
        <v>10</v>
      </c>
      <c r="E59" s="7">
        <f>IF(ISNUMBER(BidScale!C59),IF(AND(BidScale!C59&gt;Lower,BidScale!C59&lt;Upper,ROUND(BidScale!C59-0.1,4)&gt;=Lower,ROUND(BidScale!C59-0.1,4)&lt;=Upper),ROUND(BidScale!C59-0.1,4),""),"")</f>
        <v>19.899999999999999</v>
      </c>
      <c r="F59" s="8">
        <f>IF(ISNUMBER(BidScale!C59),IF(AND(BidScale!C59&gt;Lower,BidScale!C59&lt;Upper,ROUND(BidScale!C59,4)&gt;=Lower,ROUND(BidScale!C59,4)&lt;=Upper),ROUND(BidScale!C59,4),""),"")</f>
        <v>20</v>
      </c>
      <c r="G59" s="9">
        <f>IF(ISNUMBER(BidScale!D59),IF(AND(BidScale!D59&gt;Lower,BidScale!D59&lt;Upper,ROUND(BidScale!D59,4)&gt;=Lower,ROUND(BidScale!D59,4)&lt;=Upper),ROUND(BidScale!D59,4),""),"")</f>
        <v>30</v>
      </c>
      <c r="H59" s="10">
        <f>IF(ISNUMBER(BidScale!D59),IF(AND(BidScale!D59&gt;Lower,BidScale!D59&lt;Upper,ROUND(BidScale!D59+0.1,4)&gt;=Lower,ROUND(BidScale!D59+0.1,4)&lt;=Upper),ROUND(BidScale!D59+0.1,4),""),"")</f>
        <v>30.1</v>
      </c>
      <c r="I59" s="9">
        <f>IF(ISNUMBER(BidScale!E59),IF(AND(BidScale!E59&gt;Lower,BidScale!E59&lt;Upper,ROUND(BidScale!E59,4)&gt;=Lower,ROUND(BidScale!E59,4)&lt;=Upper),ROUND(BidScale!E59,4),""),"")</f>
        <v>40</v>
      </c>
      <c r="J59" s="10">
        <f>IF(ISNUMBER(BidScale!E59),IF(AND(BidScale!E59&gt;Lower,BidScale!E59&lt;Upper,ROUND(BidScale!E59+0.1,4)&gt;=Lower,ROUND(BidScale!E59+0.1,4)&lt;=Upper),ROUND(BidScale!E59+0.1,4),""),"")</f>
        <v>40.1</v>
      </c>
      <c r="K59" s="9">
        <f>IF(ISNUMBER(BidScale!F59),IF(AND(BidScale!F59&gt;Lower,BidScale!F59&lt;Upper,ROUND(BidScale!F59,4)&gt;=Lower,ROUND(BidScale!F59,4)&lt;=Upper),ROUND(BidScale!F59,4),""),"")</f>
        <v>50</v>
      </c>
      <c r="L59" s="10">
        <f>IF(ISNUMBER(BidScale!F59),IF(AND(BidScale!F59&gt;Lower,BidScale!F59&lt;Upper,ROUND(BidScale!F59+0.1,4)&gt;=Lower,ROUND(BidScale!F59+0.1,4)&lt;=Upper),ROUND(BidScale!F59+0.1,4),""),"")</f>
        <v>50.1</v>
      </c>
    </row>
    <row r="60" spans="1:12">
      <c r="A60" s="7">
        <f>IF(ISNUMBER(BidScale!A60),IF(AND(BidScale!A60&gt;Lower,BidScale!A60&lt;Upper,ROUND(BidScale!A60-0.1,4)&gt;=Lower,ROUND(BidScale!A60-0.1,4)&lt;=Upper),ROUND(BidScale!A60-0.1,4),""),"")</f>
        <v>-0.1</v>
      </c>
      <c r="B60" s="8">
        <f>IF(ISNUMBER(BidScale!A60),IF(AND(BidScale!A60&gt;Lower,BidScale!A60&lt;Upper,ROUND(BidScale!A60,4)&gt;=Lower,ROUND(BidScale!A60,4)&lt;=Upper),ROUND(BidScale!A60,4),""),"")</f>
        <v>0</v>
      </c>
      <c r="C60" s="7">
        <f>IF(ISNUMBER(BidScale!B60),IF(AND(BidScale!B60&gt;Lower,BidScale!B60&lt;Upper,ROUND(BidScale!B60-0.1,4)&gt;=Lower,ROUND(BidScale!B60-0.1,4)&lt;=Upper),ROUND(BidScale!B60-0.1,4),""),"")</f>
        <v>9.9</v>
      </c>
      <c r="D60" s="8">
        <f>IF(ISNUMBER(BidScale!B60),IF(AND(BidScale!B60&gt;Lower,BidScale!B60&lt;Upper,ROUND(BidScale!B60,4)&gt;=Lower,ROUND(BidScale!B60,4)&lt;=Upper),ROUND(BidScale!B60,4),""),"")</f>
        <v>10</v>
      </c>
      <c r="E60" s="7">
        <f>IF(ISNUMBER(BidScale!C60),IF(AND(BidScale!C60&gt;Lower,BidScale!C60&lt;Upper,ROUND(BidScale!C60-0.1,4)&gt;=Lower,ROUND(BidScale!C60-0.1,4)&lt;=Upper),ROUND(BidScale!C60-0.1,4),""),"")</f>
        <v>19.899999999999999</v>
      </c>
      <c r="F60" s="8">
        <f>IF(ISNUMBER(BidScale!C60),IF(AND(BidScale!C60&gt;Lower,BidScale!C60&lt;Upper,ROUND(BidScale!C60,4)&gt;=Lower,ROUND(BidScale!C60,4)&lt;=Upper),ROUND(BidScale!C60,4),""),"")</f>
        <v>20</v>
      </c>
      <c r="G60" s="9">
        <f>IF(ISNUMBER(BidScale!D60),IF(AND(BidScale!D60&gt;Lower,BidScale!D60&lt;Upper,ROUND(BidScale!D60,4)&gt;=Lower,ROUND(BidScale!D60,4)&lt;=Upper),ROUND(BidScale!D60,4),""),"")</f>
        <v>30</v>
      </c>
      <c r="H60" s="10">
        <f>IF(ISNUMBER(BidScale!D60),IF(AND(BidScale!D60&gt;Lower,BidScale!D60&lt;Upper,ROUND(BidScale!D60+0.1,4)&gt;=Lower,ROUND(BidScale!D60+0.1,4)&lt;=Upper),ROUND(BidScale!D60+0.1,4),""),"")</f>
        <v>30.1</v>
      </c>
      <c r="I60" s="9">
        <f>IF(ISNUMBER(BidScale!E60),IF(AND(BidScale!E60&gt;Lower,BidScale!E60&lt;Upper,ROUND(BidScale!E60,4)&gt;=Lower,ROUND(BidScale!E60,4)&lt;=Upper),ROUND(BidScale!E60,4),""),"")</f>
        <v>40</v>
      </c>
      <c r="J60" s="10">
        <f>IF(ISNUMBER(BidScale!E60),IF(AND(BidScale!E60&gt;Lower,BidScale!E60&lt;Upper,ROUND(BidScale!E60+0.1,4)&gt;=Lower,ROUND(BidScale!E60+0.1,4)&lt;=Upper),ROUND(BidScale!E60+0.1,4),""),"")</f>
        <v>40.1</v>
      </c>
      <c r="K60" s="9">
        <f>IF(ISNUMBER(BidScale!F60),IF(AND(BidScale!F60&gt;Lower,BidScale!F60&lt;Upper,ROUND(BidScale!F60,4)&gt;=Lower,ROUND(BidScale!F60,4)&lt;=Upper),ROUND(BidScale!F60,4),""),"")</f>
        <v>50</v>
      </c>
      <c r="L60" s="10">
        <f>IF(ISNUMBER(BidScale!F60),IF(AND(BidScale!F60&gt;Lower,BidScale!F60&lt;Upper,ROUND(BidScale!F60+0.1,4)&gt;=Lower,ROUND(BidScale!F60+0.1,4)&lt;=Upper),ROUND(BidScale!F60+0.1,4),""),"")</f>
        <v>50.1</v>
      </c>
    </row>
    <row r="61" spans="1:12">
      <c r="A61" s="7">
        <f>IF(ISNUMBER(BidScale!A61),IF(AND(BidScale!A61&gt;Lower,BidScale!A61&lt;Upper,ROUND(BidScale!A61-0.1,4)&gt;=Lower,ROUND(BidScale!A61-0.1,4)&lt;=Upper),ROUND(BidScale!A61-0.1,4),""),"")</f>
        <v>-0.1</v>
      </c>
      <c r="B61" s="8">
        <f>IF(ISNUMBER(BidScale!A61),IF(AND(BidScale!A61&gt;Lower,BidScale!A61&lt;Upper,ROUND(BidScale!A61,4)&gt;=Lower,ROUND(BidScale!A61,4)&lt;=Upper),ROUND(BidScale!A61,4),""),"")</f>
        <v>0</v>
      </c>
      <c r="C61" s="7">
        <f>IF(ISNUMBER(BidScale!B61),IF(AND(BidScale!B61&gt;Lower,BidScale!B61&lt;Upper,ROUND(BidScale!B61-0.1,4)&gt;=Lower,ROUND(BidScale!B61-0.1,4)&lt;=Upper),ROUND(BidScale!B61-0.1,4),""),"")</f>
        <v>9.9</v>
      </c>
      <c r="D61" s="8">
        <f>IF(ISNUMBER(BidScale!B61),IF(AND(BidScale!B61&gt;Lower,BidScale!B61&lt;Upper,ROUND(BidScale!B61,4)&gt;=Lower,ROUND(BidScale!B61,4)&lt;=Upper),ROUND(BidScale!B61,4),""),"")</f>
        <v>10</v>
      </c>
      <c r="E61" s="7">
        <f>IF(ISNUMBER(BidScale!C61),IF(AND(BidScale!C61&gt;Lower,BidScale!C61&lt;Upper,ROUND(BidScale!C61-0.1,4)&gt;=Lower,ROUND(BidScale!C61-0.1,4)&lt;=Upper),ROUND(BidScale!C61-0.1,4),""),"")</f>
        <v>19.899999999999999</v>
      </c>
      <c r="F61" s="8">
        <f>IF(ISNUMBER(BidScale!C61),IF(AND(BidScale!C61&gt;Lower,BidScale!C61&lt;Upper,ROUND(BidScale!C61,4)&gt;=Lower,ROUND(BidScale!C61,4)&lt;=Upper),ROUND(BidScale!C61,4),""),"")</f>
        <v>20</v>
      </c>
      <c r="G61" s="9">
        <f>IF(ISNUMBER(BidScale!D61),IF(AND(BidScale!D61&gt;Lower,BidScale!D61&lt;Upper,ROUND(BidScale!D61,4)&gt;=Lower,ROUND(BidScale!D61,4)&lt;=Upper),ROUND(BidScale!D61,4),""),"")</f>
        <v>30</v>
      </c>
      <c r="H61" s="10">
        <f>IF(ISNUMBER(BidScale!D61),IF(AND(BidScale!D61&gt;Lower,BidScale!D61&lt;Upper,ROUND(BidScale!D61+0.1,4)&gt;=Lower,ROUND(BidScale!D61+0.1,4)&lt;=Upper),ROUND(BidScale!D61+0.1,4),""),"")</f>
        <v>30.1</v>
      </c>
      <c r="I61" s="9">
        <f>IF(ISNUMBER(BidScale!E61),IF(AND(BidScale!E61&gt;Lower,BidScale!E61&lt;Upper,ROUND(BidScale!E61,4)&gt;=Lower,ROUND(BidScale!E61,4)&lt;=Upper),ROUND(BidScale!E61,4),""),"")</f>
        <v>40</v>
      </c>
      <c r="J61" s="10">
        <f>IF(ISNUMBER(BidScale!E61),IF(AND(BidScale!E61&gt;Lower,BidScale!E61&lt;Upper,ROUND(BidScale!E61+0.1,4)&gt;=Lower,ROUND(BidScale!E61+0.1,4)&lt;=Upper),ROUND(BidScale!E61+0.1,4),""),"")</f>
        <v>40.1</v>
      </c>
      <c r="K61" s="9">
        <f>IF(ISNUMBER(BidScale!F61),IF(AND(BidScale!F61&gt;Lower,BidScale!F61&lt;Upper,ROUND(BidScale!F61,4)&gt;=Lower,ROUND(BidScale!F61,4)&lt;=Upper),ROUND(BidScale!F61,4),""),"")</f>
        <v>50</v>
      </c>
      <c r="L61" s="10">
        <f>IF(ISNUMBER(BidScale!F61),IF(AND(BidScale!F61&gt;Lower,BidScale!F61&lt;Upper,ROUND(BidScale!F61+0.1,4)&gt;=Lower,ROUND(BidScale!F61+0.1,4)&lt;=Upper),ROUND(BidScale!F61+0.1,4),""),"")</f>
        <v>50.1</v>
      </c>
    </row>
    <row r="62" spans="1:12">
      <c r="A62" s="7">
        <f>IF(ISNUMBER(BidScale!A62),IF(AND(BidScale!A62&gt;Lower,BidScale!A62&lt;Upper,ROUND(BidScale!A62-0.1,4)&gt;=Lower,ROUND(BidScale!A62-0.1,4)&lt;=Upper),ROUND(BidScale!A62-0.1,4),""),"")</f>
        <v>7.4</v>
      </c>
      <c r="B62" s="8">
        <f>IF(ISNUMBER(BidScale!A62),IF(AND(BidScale!A62&gt;Lower,BidScale!A62&lt;Upper,ROUND(BidScale!A62,4)&gt;=Lower,ROUND(BidScale!A62,4)&lt;=Upper),ROUND(BidScale!A62,4),""),"")</f>
        <v>7.5</v>
      </c>
      <c r="C62" s="7">
        <f>IF(ISNUMBER(BidScale!B62),IF(AND(BidScale!B62&gt;Lower,BidScale!B62&lt;Upper,ROUND(BidScale!B62-0.1,4)&gt;=Lower,ROUND(BidScale!B62-0.1,4)&lt;=Upper),ROUND(BidScale!B62-0.1,4),""),"")</f>
        <v>17.399999999999999</v>
      </c>
      <c r="D62" s="8">
        <f>IF(ISNUMBER(BidScale!B62),IF(AND(BidScale!B62&gt;Lower,BidScale!B62&lt;Upper,ROUND(BidScale!B62,4)&gt;=Lower,ROUND(BidScale!B62,4)&lt;=Upper),ROUND(BidScale!B62,4),""),"")</f>
        <v>17.5</v>
      </c>
      <c r="E62" s="7">
        <f>IF(ISNUMBER(BidScale!C62),IF(AND(BidScale!C62&gt;Lower,BidScale!C62&lt;Upper,ROUND(BidScale!C62-0.1,4)&gt;=Lower,ROUND(BidScale!C62-0.1,4)&lt;=Upper),ROUND(BidScale!C62-0.1,4),""),"")</f>
        <v>27.4</v>
      </c>
      <c r="F62" s="8">
        <f>IF(ISNUMBER(BidScale!C62),IF(AND(BidScale!C62&gt;Lower,BidScale!C62&lt;Upper,ROUND(BidScale!C62,4)&gt;=Lower,ROUND(BidScale!C62,4)&lt;=Upper),ROUND(BidScale!C62,4),""),"")</f>
        <v>27.5</v>
      </c>
      <c r="G62" s="9">
        <f>IF(ISNUMBER(BidScale!D62),IF(AND(BidScale!D62&gt;Lower,BidScale!D62&lt;Upper,ROUND(BidScale!D62,4)&gt;=Lower,ROUND(BidScale!D62,4)&lt;=Upper),ROUND(BidScale!D62,4),""),"")</f>
        <v>37.5</v>
      </c>
      <c r="H62" s="10">
        <f>IF(ISNUMBER(BidScale!D62),IF(AND(BidScale!D62&gt;Lower,BidScale!D62&lt;Upper,ROUND(BidScale!D62+0.1,4)&gt;=Lower,ROUND(BidScale!D62+0.1,4)&lt;=Upper),ROUND(BidScale!D62+0.1,4),""),"")</f>
        <v>37.6</v>
      </c>
      <c r="I62" s="9">
        <f>IF(ISNUMBER(BidScale!E62),IF(AND(BidScale!E62&gt;Lower,BidScale!E62&lt;Upper,ROUND(BidScale!E62,4)&gt;=Lower,ROUND(BidScale!E62,4)&lt;=Upper),ROUND(BidScale!E62,4),""),"")</f>
        <v>47.5</v>
      </c>
      <c r="J62" s="10">
        <f>IF(ISNUMBER(BidScale!E62),IF(AND(BidScale!E62&gt;Lower,BidScale!E62&lt;Upper,ROUND(BidScale!E62+0.1,4)&gt;=Lower,ROUND(BidScale!E62+0.1,4)&lt;=Upper),ROUND(BidScale!E62+0.1,4),""),"")</f>
        <v>47.6</v>
      </c>
      <c r="K62" s="9">
        <f>IF(ISNUMBER(BidScale!F62),IF(AND(BidScale!F62&gt;Lower,BidScale!F62&lt;Upper,ROUND(BidScale!F62,4)&gt;=Lower,ROUND(BidScale!F62,4)&lt;=Upper),ROUND(BidScale!F62,4),""),"")</f>
        <v>57.5</v>
      </c>
      <c r="L62" s="10">
        <f>IF(ISNUMBER(BidScale!F62),IF(AND(BidScale!F62&gt;Lower,BidScale!F62&lt;Upper,ROUND(BidScale!F62+0.1,4)&gt;=Lower,ROUND(BidScale!F62+0.1,4)&lt;=Upper),ROUND(BidScale!F62+0.1,4),""),"")</f>
        <v>57.6</v>
      </c>
    </row>
    <row r="63" spans="1:12">
      <c r="A63" s="7">
        <f>IF(ISNUMBER(BidScale!A63),IF(AND(BidScale!A63&gt;Lower,BidScale!A63&lt;Upper,ROUND(BidScale!A63-0.1,4)&gt;=Lower,ROUND(BidScale!A63-0.1,4)&lt;=Upper),ROUND(BidScale!A63-0.1,4),""),"")</f>
        <v>14.9</v>
      </c>
      <c r="B63" s="8">
        <f>IF(ISNUMBER(BidScale!A63),IF(AND(BidScale!A63&gt;Lower,BidScale!A63&lt;Upper,ROUND(BidScale!A63,4)&gt;=Lower,ROUND(BidScale!A63,4)&lt;=Upper),ROUND(BidScale!A63,4),""),"")</f>
        <v>15</v>
      </c>
      <c r="C63" s="7">
        <f>IF(ISNUMBER(BidScale!B63),IF(AND(BidScale!B63&gt;Lower,BidScale!B63&lt;Upper,ROUND(BidScale!B63-0.1,4)&gt;=Lower,ROUND(BidScale!B63-0.1,4)&lt;=Upper),ROUND(BidScale!B63-0.1,4),""),"")</f>
        <v>24.9</v>
      </c>
      <c r="D63" s="8">
        <f>IF(ISNUMBER(BidScale!B63),IF(AND(BidScale!B63&gt;Lower,BidScale!B63&lt;Upper,ROUND(BidScale!B63,4)&gt;=Lower,ROUND(BidScale!B63,4)&lt;=Upper),ROUND(BidScale!B63,4),""),"")</f>
        <v>25</v>
      </c>
      <c r="E63" s="7">
        <f>IF(ISNUMBER(BidScale!C63),IF(AND(BidScale!C63&gt;Lower,BidScale!C63&lt;Upper,ROUND(BidScale!C63-0.1,4)&gt;=Lower,ROUND(BidScale!C63-0.1,4)&lt;=Upper),ROUND(BidScale!C63-0.1,4),""),"")</f>
        <v>34.9</v>
      </c>
      <c r="F63" s="8">
        <f>IF(ISNUMBER(BidScale!C63),IF(AND(BidScale!C63&gt;Lower,BidScale!C63&lt;Upper,ROUND(BidScale!C63,4)&gt;=Lower,ROUND(BidScale!C63,4)&lt;=Upper),ROUND(BidScale!C63,4),""),"")</f>
        <v>35</v>
      </c>
      <c r="G63" s="9">
        <f>IF(ISNUMBER(BidScale!D63),IF(AND(BidScale!D63&gt;Lower,BidScale!D63&lt;Upper,ROUND(BidScale!D63,4)&gt;=Lower,ROUND(BidScale!D63,4)&lt;=Upper),ROUND(BidScale!D63,4),""),"")</f>
        <v>45</v>
      </c>
      <c r="H63" s="10">
        <f>IF(ISNUMBER(BidScale!D63),IF(AND(BidScale!D63&gt;Lower,BidScale!D63&lt;Upper,ROUND(BidScale!D63+0.1,4)&gt;=Lower,ROUND(BidScale!D63+0.1,4)&lt;=Upper),ROUND(BidScale!D63+0.1,4),""),"")</f>
        <v>45.1</v>
      </c>
      <c r="I63" s="9">
        <f>IF(ISNUMBER(BidScale!E63),IF(AND(BidScale!E63&gt;Lower,BidScale!E63&lt;Upper,ROUND(BidScale!E63,4)&gt;=Lower,ROUND(BidScale!E63,4)&lt;=Upper),ROUND(BidScale!E63,4),""),"")</f>
        <v>55</v>
      </c>
      <c r="J63" s="10">
        <f>IF(ISNUMBER(BidScale!E63),IF(AND(BidScale!E63&gt;Lower,BidScale!E63&lt;Upper,ROUND(BidScale!E63+0.1,4)&gt;=Lower,ROUND(BidScale!E63+0.1,4)&lt;=Upper),ROUND(BidScale!E63+0.1,4),""),"")</f>
        <v>55.1</v>
      </c>
      <c r="K63" s="9">
        <f>IF(ISNUMBER(BidScale!F63),IF(AND(BidScale!F63&gt;Lower,BidScale!F63&lt;Upper,ROUND(BidScale!F63,4)&gt;=Lower,ROUND(BidScale!F63,4)&lt;=Upper),ROUND(BidScale!F63,4),""),"")</f>
        <v>65</v>
      </c>
      <c r="L63" s="10">
        <f>IF(ISNUMBER(BidScale!F63),IF(AND(BidScale!F63&gt;Lower,BidScale!F63&lt;Upper,ROUND(BidScale!F63+0.1,4)&gt;=Lower,ROUND(BidScale!F63+0.1,4)&lt;=Upper),ROUND(BidScale!F63+0.1,4),""),"")</f>
        <v>65.099999999999994</v>
      </c>
    </row>
    <row r="64" spans="1:12">
      <c r="A64" s="7">
        <f>IF(ISNUMBER(BidScale!A64),IF(AND(BidScale!A64&gt;Lower,BidScale!A64&lt;Upper,ROUND(BidScale!A64-0.1,4)&gt;=Lower,ROUND(BidScale!A64-0.1,4)&lt;=Upper),ROUND(BidScale!A64-0.1,4),""),"")</f>
        <v>14.9</v>
      </c>
      <c r="B64" s="8">
        <f>IF(ISNUMBER(BidScale!A64),IF(AND(BidScale!A64&gt;Lower,BidScale!A64&lt;Upper,ROUND(BidScale!A64,4)&gt;=Lower,ROUND(BidScale!A64,4)&lt;=Upper),ROUND(BidScale!A64,4),""),"")</f>
        <v>15</v>
      </c>
      <c r="C64" s="7">
        <f>IF(ISNUMBER(BidScale!B64),IF(AND(BidScale!B64&gt;Lower,BidScale!B64&lt;Upper,ROUND(BidScale!B64-0.1,4)&gt;=Lower,ROUND(BidScale!B64-0.1,4)&lt;=Upper),ROUND(BidScale!B64-0.1,4),""),"")</f>
        <v>24.9</v>
      </c>
      <c r="D64" s="8">
        <f>IF(ISNUMBER(BidScale!B64),IF(AND(BidScale!B64&gt;Lower,BidScale!B64&lt;Upper,ROUND(BidScale!B64,4)&gt;=Lower,ROUND(BidScale!B64,4)&lt;=Upper),ROUND(BidScale!B64,4),""),"")</f>
        <v>25</v>
      </c>
      <c r="E64" s="7">
        <f>IF(ISNUMBER(BidScale!C64),IF(AND(BidScale!C64&gt;Lower,BidScale!C64&lt;Upper,ROUND(BidScale!C64-0.1,4)&gt;=Lower,ROUND(BidScale!C64-0.1,4)&lt;=Upper),ROUND(BidScale!C64-0.1,4),""),"")</f>
        <v>34.9</v>
      </c>
      <c r="F64" s="8">
        <f>IF(ISNUMBER(BidScale!C64),IF(AND(BidScale!C64&gt;Lower,BidScale!C64&lt;Upper,ROUND(BidScale!C64,4)&gt;=Lower,ROUND(BidScale!C64,4)&lt;=Upper),ROUND(BidScale!C64,4),""),"")</f>
        <v>35</v>
      </c>
      <c r="G64" s="9">
        <f>IF(ISNUMBER(BidScale!D64),IF(AND(BidScale!D64&gt;Lower,BidScale!D64&lt;Upper,ROUND(BidScale!D64,4)&gt;=Lower,ROUND(BidScale!D64,4)&lt;=Upper),ROUND(BidScale!D64,4),""),"")</f>
        <v>45</v>
      </c>
      <c r="H64" s="10">
        <f>IF(ISNUMBER(BidScale!D64),IF(AND(BidScale!D64&gt;Lower,BidScale!D64&lt;Upper,ROUND(BidScale!D64+0.1,4)&gt;=Lower,ROUND(BidScale!D64+0.1,4)&lt;=Upper),ROUND(BidScale!D64+0.1,4),""),"")</f>
        <v>45.1</v>
      </c>
      <c r="I64" s="9">
        <f>IF(ISNUMBER(BidScale!E64),IF(AND(BidScale!E64&gt;Lower,BidScale!E64&lt;Upper,ROUND(BidScale!E64,4)&gt;=Lower,ROUND(BidScale!E64,4)&lt;=Upper),ROUND(BidScale!E64,4),""),"")</f>
        <v>55</v>
      </c>
      <c r="J64" s="10">
        <f>IF(ISNUMBER(BidScale!E64),IF(AND(BidScale!E64&gt;Lower,BidScale!E64&lt;Upper,ROUND(BidScale!E64+0.1,4)&gt;=Lower,ROUND(BidScale!E64+0.1,4)&lt;=Upper),ROUND(BidScale!E64+0.1,4),""),"")</f>
        <v>55.1</v>
      </c>
      <c r="K64" s="9">
        <f>IF(ISNUMBER(BidScale!F64),IF(AND(BidScale!F64&gt;Lower,BidScale!F64&lt;Upper,ROUND(BidScale!F64,4)&gt;=Lower,ROUND(BidScale!F64,4)&lt;=Upper),ROUND(BidScale!F64,4),""),"")</f>
        <v>65</v>
      </c>
      <c r="L64" s="10">
        <f>IF(ISNUMBER(BidScale!F64),IF(AND(BidScale!F64&gt;Lower,BidScale!F64&lt;Upper,ROUND(BidScale!F64+0.1,4)&gt;=Lower,ROUND(BidScale!F64+0.1,4)&lt;=Upper),ROUND(BidScale!F64+0.1,4),""),"")</f>
        <v>65.099999999999994</v>
      </c>
    </row>
    <row r="65" spans="1:12">
      <c r="A65" s="7">
        <f>IF(ISNUMBER(BidScale!A65),IF(AND(BidScale!A65&gt;Lower,BidScale!A65&lt;Upper,ROUND(BidScale!A65-0.1,4)&gt;=Lower,ROUND(BidScale!A65-0.1,4)&lt;=Upper),ROUND(BidScale!A65-0.1,4),""),"")</f>
        <v>19.899999999999999</v>
      </c>
      <c r="B65" s="8">
        <f>IF(ISNUMBER(BidScale!A65),IF(AND(BidScale!A65&gt;Lower,BidScale!A65&lt;Upper,ROUND(BidScale!A65,4)&gt;=Lower,ROUND(BidScale!A65,4)&lt;=Upper),ROUND(BidScale!A65,4),""),"")</f>
        <v>20</v>
      </c>
      <c r="C65" s="7">
        <f>IF(ISNUMBER(BidScale!B65),IF(AND(BidScale!B65&gt;Lower,BidScale!B65&lt;Upper,ROUND(BidScale!B65-0.1,4)&gt;=Lower,ROUND(BidScale!B65-0.1,4)&lt;=Upper),ROUND(BidScale!B65-0.1,4),""),"")</f>
        <v>29.9</v>
      </c>
      <c r="D65" s="8">
        <f>IF(ISNUMBER(BidScale!B65),IF(AND(BidScale!B65&gt;Lower,BidScale!B65&lt;Upper,ROUND(BidScale!B65,4)&gt;=Lower,ROUND(BidScale!B65,4)&lt;=Upper),ROUND(BidScale!B65,4),""),"")</f>
        <v>30</v>
      </c>
      <c r="E65" s="7">
        <f>IF(ISNUMBER(BidScale!C65),IF(AND(BidScale!C65&gt;Lower,BidScale!C65&lt;Upper,ROUND(BidScale!C65-0.1,4)&gt;=Lower,ROUND(BidScale!C65-0.1,4)&lt;=Upper),ROUND(BidScale!C65-0.1,4),""),"")</f>
        <v>39.9</v>
      </c>
      <c r="F65" s="8">
        <f>IF(ISNUMBER(BidScale!C65),IF(AND(BidScale!C65&gt;Lower,BidScale!C65&lt;Upper,ROUND(BidScale!C65,4)&gt;=Lower,ROUND(BidScale!C65,4)&lt;=Upper),ROUND(BidScale!C65,4),""),"")</f>
        <v>40</v>
      </c>
      <c r="G65" s="9">
        <f>IF(ISNUMBER(BidScale!D65),IF(AND(BidScale!D65&gt;Lower,BidScale!D65&lt;Upper,ROUND(BidScale!D65,4)&gt;=Lower,ROUND(BidScale!D65,4)&lt;=Upper),ROUND(BidScale!D65,4),""),"")</f>
        <v>50</v>
      </c>
      <c r="H65" s="10">
        <f>IF(ISNUMBER(BidScale!D65),IF(AND(BidScale!D65&gt;Lower,BidScale!D65&lt;Upper,ROUND(BidScale!D65+0.1,4)&gt;=Lower,ROUND(BidScale!D65+0.1,4)&lt;=Upper),ROUND(BidScale!D65+0.1,4),""),"")</f>
        <v>50.1</v>
      </c>
      <c r="I65" s="9">
        <f>IF(ISNUMBER(BidScale!E65),IF(AND(BidScale!E65&gt;Lower,BidScale!E65&lt;Upper,ROUND(BidScale!E65,4)&gt;=Lower,ROUND(BidScale!E65,4)&lt;=Upper),ROUND(BidScale!E65,4),""),"")</f>
        <v>60</v>
      </c>
      <c r="J65" s="10">
        <f>IF(ISNUMBER(BidScale!E65),IF(AND(BidScale!E65&gt;Lower,BidScale!E65&lt;Upper,ROUND(BidScale!E65+0.1,4)&gt;=Lower,ROUND(BidScale!E65+0.1,4)&lt;=Upper),ROUND(BidScale!E65+0.1,4),""),"")</f>
        <v>60.1</v>
      </c>
      <c r="K65" s="9">
        <f>IF(ISNUMBER(BidScale!F65),IF(AND(BidScale!F65&gt;Lower,BidScale!F65&lt;Upper,ROUND(BidScale!F65,4)&gt;=Lower,ROUND(BidScale!F65,4)&lt;=Upper),ROUND(BidScale!F65,4),""),"")</f>
        <v>70</v>
      </c>
      <c r="L65" s="10">
        <f>IF(ISNUMBER(BidScale!F65),IF(AND(BidScale!F65&gt;Lower,BidScale!F65&lt;Upper,ROUND(BidScale!F65+0.1,4)&gt;=Lower,ROUND(BidScale!F65+0.1,4)&lt;=Upper),ROUND(BidScale!F65+0.1,4),""),"")</f>
        <v>70.099999999999994</v>
      </c>
    </row>
    <row r="66" spans="1:12">
      <c r="A66" s="7">
        <f>IF(ISNUMBER(BidScale!A66),IF(AND(BidScale!A66&gt;Lower,BidScale!A66&lt;Upper,ROUND(BidScale!A66-0.1,4)&gt;=Lower,ROUND(BidScale!A66-0.1,4)&lt;=Upper),ROUND(BidScale!A66-0.1,4),""),"")</f>
        <v>27.4</v>
      </c>
      <c r="B66" s="8">
        <f>IF(ISNUMBER(BidScale!A66),IF(AND(BidScale!A66&gt;Lower,BidScale!A66&lt;Upper,ROUND(BidScale!A66,4)&gt;=Lower,ROUND(BidScale!A66,4)&lt;=Upper),ROUND(BidScale!A66,4),""),"")</f>
        <v>27.5</v>
      </c>
      <c r="C66" s="7">
        <f>IF(ISNUMBER(BidScale!B66),IF(AND(BidScale!B66&gt;Lower,BidScale!B66&lt;Upper,ROUND(BidScale!B66-0.1,4)&gt;=Lower,ROUND(BidScale!B66-0.1,4)&lt;=Upper),ROUND(BidScale!B66-0.1,4),""),"")</f>
        <v>37.4</v>
      </c>
      <c r="D66" s="8">
        <f>IF(ISNUMBER(BidScale!B66),IF(AND(BidScale!B66&gt;Lower,BidScale!B66&lt;Upper,ROUND(BidScale!B66,4)&gt;=Lower,ROUND(BidScale!B66,4)&lt;=Upper),ROUND(BidScale!B66,4),""),"")</f>
        <v>37.5</v>
      </c>
      <c r="E66" s="7">
        <f>IF(ISNUMBER(BidScale!C66),IF(AND(BidScale!C66&gt;Lower,BidScale!C66&lt;Upper,ROUND(BidScale!C66-0.1,4)&gt;=Lower,ROUND(BidScale!C66-0.1,4)&lt;=Upper),ROUND(BidScale!C66-0.1,4),""),"")</f>
        <v>47.4</v>
      </c>
      <c r="F66" s="8">
        <f>IF(ISNUMBER(BidScale!C66),IF(AND(BidScale!C66&gt;Lower,BidScale!C66&lt;Upper,ROUND(BidScale!C66,4)&gt;=Lower,ROUND(BidScale!C66,4)&lt;=Upper),ROUND(BidScale!C66,4),""),"")</f>
        <v>47.5</v>
      </c>
      <c r="G66" s="9">
        <f>IF(ISNUMBER(BidScale!D66),IF(AND(BidScale!D66&gt;Lower,BidScale!D66&lt;Upper,ROUND(BidScale!D66,4)&gt;=Lower,ROUND(BidScale!D66,4)&lt;=Upper),ROUND(BidScale!D66,4),""),"")</f>
        <v>57.5</v>
      </c>
      <c r="H66" s="10">
        <f>IF(ISNUMBER(BidScale!D66),IF(AND(BidScale!D66&gt;Lower,BidScale!D66&lt;Upper,ROUND(BidScale!D66+0.1,4)&gt;=Lower,ROUND(BidScale!D66+0.1,4)&lt;=Upper),ROUND(BidScale!D66+0.1,4),""),"")</f>
        <v>57.6</v>
      </c>
      <c r="I66" s="9">
        <f>IF(ISNUMBER(BidScale!E66),IF(AND(BidScale!E66&gt;Lower,BidScale!E66&lt;Upper,ROUND(BidScale!E66,4)&gt;=Lower,ROUND(BidScale!E66,4)&lt;=Upper),ROUND(BidScale!E66,4),""),"")</f>
        <v>67.5</v>
      </c>
      <c r="J66" s="10">
        <f>IF(ISNUMBER(BidScale!E66),IF(AND(BidScale!E66&gt;Lower,BidScale!E66&lt;Upper,ROUND(BidScale!E66+0.1,4)&gt;=Lower,ROUND(BidScale!E66+0.1,4)&lt;=Upper),ROUND(BidScale!E66+0.1,4),""),"")</f>
        <v>67.599999999999994</v>
      </c>
      <c r="K66" s="9">
        <f>IF(ISNUMBER(BidScale!F66),IF(AND(BidScale!F66&gt;Lower,BidScale!F66&lt;Upper,ROUND(BidScale!F66,4)&gt;=Lower,ROUND(BidScale!F66,4)&lt;=Upper),ROUND(BidScale!F66,4),""),"")</f>
        <v>77.5</v>
      </c>
      <c r="L66" s="10">
        <f>IF(ISNUMBER(BidScale!F66),IF(AND(BidScale!F66&gt;Lower,BidScale!F66&lt;Upper,ROUND(BidScale!F66+0.1,4)&gt;=Lower,ROUND(BidScale!F66+0.1,4)&lt;=Upper),ROUND(BidScale!F66+0.1,4),""),"")</f>
        <v>77.599999999999994</v>
      </c>
    </row>
    <row r="67" spans="1:12">
      <c r="A67" s="7">
        <f>IF(ISNUMBER(BidScale!A67),IF(AND(BidScale!A67&gt;Lower,BidScale!A67&lt;Upper,ROUND(BidScale!A67-0.1,4)&gt;=Lower,ROUND(BidScale!A67-0.1,4)&lt;=Upper),ROUND(BidScale!A67-0.1,4),""),"")</f>
        <v>34.9</v>
      </c>
      <c r="B67" s="8">
        <f>IF(ISNUMBER(BidScale!A67),IF(AND(BidScale!A67&gt;Lower,BidScale!A67&lt;Upper,ROUND(BidScale!A67,4)&gt;=Lower,ROUND(BidScale!A67,4)&lt;=Upper),ROUND(BidScale!A67,4),""),"")</f>
        <v>35</v>
      </c>
      <c r="C67" s="7">
        <f>IF(ISNUMBER(BidScale!B67),IF(AND(BidScale!B67&gt;Lower,BidScale!B67&lt;Upper,ROUND(BidScale!B67-0.1,4)&gt;=Lower,ROUND(BidScale!B67-0.1,4)&lt;=Upper),ROUND(BidScale!B67-0.1,4),""),"")</f>
        <v>44.9</v>
      </c>
      <c r="D67" s="8">
        <f>IF(ISNUMBER(BidScale!B67),IF(AND(BidScale!B67&gt;Lower,BidScale!B67&lt;Upper,ROUND(BidScale!B67,4)&gt;=Lower,ROUND(BidScale!B67,4)&lt;=Upper),ROUND(BidScale!B67,4),""),"")</f>
        <v>45</v>
      </c>
      <c r="E67" s="7">
        <f>IF(ISNUMBER(BidScale!C67),IF(AND(BidScale!C67&gt;Lower,BidScale!C67&lt;Upper,ROUND(BidScale!C67-0.1,4)&gt;=Lower,ROUND(BidScale!C67-0.1,4)&lt;=Upper),ROUND(BidScale!C67-0.1,4),""),"")</f>
        <v>54.9</v>
      </c>
      <c r="F67" s="8">
        <f>IF(ISNUMBER(BidScale!C67),IF(AND(BidScale!C67&gt;Lower,BidScale!C67&lt;Upper,ROUND(BidScale!C67,4)&gt;=Lower,ROUND(BidScale!C67,4)&lt;=Upper),ROUND(BidScale!C67,4),""),"")</f>
        <v>55</v>
      </c>
      <c r="G67" s="9">
        <f>IF(ISNUMBER(BidScale!D67),IF(AND(BidScale!D67&gt;Lower,BidScale!D67&lt;Upper,ROUND(BidScale!D67,4)&gt;=Lower,ROUND(BidScale!D67,4)&lt;=Upper),ROUND(BidScale!D67,4),""),"")</f>
        <v>65</v>
      </c>
      <c r="H67" s="10">
        <f>IF(ISNUMBER(BidScale!D67),IF(AND(BidScale!D67&gt;Lower,BidScale!D67&lt;Upper,ROUND(BidScale!D67+0.1,4)&gt;=Lower,ROUND(BidScale!D67+0.1,4)&lt;=Upper),ROUND(BidScale!D67+0.1,4),""),"")</f>
        <v>65.099999999999994</v>
      </c>
      <c r="I67" s="9">
        <f>IF(ISNUMBER(BidScale!E67),IF(AND(BidScale!E67&gt;Lower,BidScale!E67&lt;Upper,ROUND(BidScale!E67,4)&gt;=Lower,ROUND(BidScale!E67,4)&lt;=Upper),ROUND(BidScale!E67,4),""),"")</f>
        <v>75</v>
      </c>
      <c r="J67" s="10">
        <f>IF(ISNUMBER(BidScale!E67),IF(AND(BidScale!E67&gt;Lower,BidScale!E67&lt;Upper,ROUND(BidScale!E67+0.1,4)&gt;=Lower,ROUND(BidScale!E67+0.1,4)&lt;=Upper),ROUND(BidScale!E67+0.1,4),""),"")</f>
        <v>75.099999999999994</v>
      </c>
      <c r="K67" s="9">
        <f>IF(ISNUMBER(BidScale!F67),IF(AND(BidScale!F67&gt;Lower,BidScale!F67&lt;Upper,ROUND(BidScale!F67,4)&gt;=Lower,ROUND(BidScale!F67,4)&lt;=Upper),ROUND(BidScale!F67,4),""),"")</f>
        <v>85</v>
      </c>
      <c r="L67" s="10">
        <f>IF(ISNUMBER(BidScale!F67),IF(AND(BidScale!F67&gt;Lower,BidScale!F67&lt;Upper,ROUND(BidScale!F67+0.1,4)&gt;=Lower,ROUND(BidScale!F67+0.1,4)&lt;=Upper),ROUND(BidScale!F67+0.1,4),""),"")</f>
        <v>85.1</v>
      </c>
    </row>
    <row r="68" spans="1:12">
      <c r="A68" s="7">
        <f>IF(ISNUMBER(BidScale!A68),IF(AND(BidScale!A68&gt;Lower,BidScale!A68&lt;Upper,ROUND(BidScale!A68-0.1,4)&gt;=Lower,ROUND(BidScale!A68-0.1,4)&lt;=Upper),ROUND(BidScale!A68-0.1,4),""),"")</f>
        <v>39.9</v>
      </c>
      <c r="B68" s="8">
        <f>IF(ISNUMBER(BidScale!A68),IF(AND(BidScale!A68&gt;Lower,BidScale!A68&lt;Upper,ROUND(BidScale!A68,4)&gt;=Lower,ROUND(BidScale!A68,4)&lt;=Upper),ROUND(BidScale!A68,4),""),"")</f>
        <v>40</v>
      </c>
      <c r="C68" s="7">
        <f>IF(ISNUMBER(BidScale!B68),IF(AND(BidScale!B68&gt;Lower,BidScale!B68&lt;Upper,ROUND(BidScale!B68-0.1,4)&gt;=Lower,ROUND(BidScale!B68-0.1,4)&lt;=Upper),ROUND(BidScale!B68-0.1,4),""),"")</f>
        <v>49.9</v>
      </c>
      <c r="D68" s="8">
        <f>IF(ISNUMBER(BidScale!B68),IF(AND(BidScale!B68&gt;Lower,BidScale!B68&lt;Upper,ROUND(BidScale!B68,4)&gt;=Lower,ROUND(BidScale!B68,4)&lt;=Upper),ROUND(BidScale!B68,4),""),"")</f>
        <v>50</v>
      </c>
      <c r="E68" s="7">
        <f>IF(ISNUMBER(BidScale!C68),IF(AND(BidScale!C68&gt;Lower,BidScale!C68&lt;Upper,ROUND(BidScale!C68-0.1,4)&gt;=Lower,ROUND(BidScale!C68-0.1,4)&lt;=Upper),ROUND(BidScale!C68-0.1,4),""),"")</f>
        <v>59.9</v>
      </c>
      <c r="F68" s="8">
        <f>IF(ISNUMBER(BidScale!C68),IF(AND(BidScale!C68&gt;Lower,BidScale!C68&lt;Upper,ROUND(BidScale!C68,4)&gt;=Lower,ROUND(BidScale!C68,4)&lt;=Upper),ROUND(BidScale!C68,4),""),"")</f>
        <v>60</v>
      </c>
      <c r="G68" s="9">
        <f>IF(ISNUMBER(BidScale!D68),IF(AND(BidScale!D68&gt;Lower,BidScale!D68&lt;Upper,ROUND(BidScale!D68,4)&gt;=Lower,ROUND(BidScale!D68,4)&lt;=Upper),ROUND(BidScale!D68,4),""),"")</f>
        <v>70</v>
      </c>
      <c r="H68" s="10">
        <f>IF(ISNUMBER(BidScale!D68),IF(AND(BidScale!D68&gt;Lower,BidScale!D68&lt;Upper,ROUND(BidScale!D68+0.1,4)&gt;=Lower,ROUND(BidScale!D68+0.1,4)&lt;=Upper),ROUND(BidScale!D68+0.1,4),""),"")</f>
        <v>70.099999999999994</v>
      </c>
      <c r="I68" s="9">
        <f>IF(ISNUMBER(BidScale!E68),IF(AND(BidScale!E68&gt;Lower,BidScale!E68&lt;Upper,ROUND(BidScale!E68,4)&gt;=Lower,ROUND(BidScale!E68,4)&lt;=Upper),ROUND(BidScale!E68,4),""),"")</f>
        <v>80</v>
      </c>
      <c r="J68" s="10">
        <f>IF(ISNUMBER(BidScale!E68),IF(AND(BidScale!E68&gt;Lower,BidScale!E68&lt;Upper,ROUND(BidScale!E68+0.1,4)&gt;=Lower,ROUND(BidScale!E68+0.1,4)&lt;=Upper),ROUND(BidScale!E68+0.1,4),""),"")</f>
        <v>80.099999999999994</v>
      </c>
      <c r="K68" s="9">
        <f>IF(ISNUMBER(BidScale!F68),IF(AND(BidScale!F68&gt;Lower,BidScale!F68&lt;Upper,ROUND(BidScale!F68,4)&gt;=Lower,ROUND(BidScale!F68,4)&lt;=Upper),ROUND(BidScale!F68,4),""),"")</f>
        <v>90</v>
      </c>
      <c r="L68" s="10">
        <f>IF(ISNUMBER(BidScale!F68),IF(AND(BidScale!F68&gt;Lower,BidScale!F68&lt;Upper,ROUND(BidScale!F68+0.1,4)&gt;=Lower,ROUND(BidScale!F68+0.1,4)&lt;=Upper),ROUND(BidScale!F68+0.1,4),""),"")</f>
        <v>90.1</v>
      </c>
    </row>
    <row r="69" spans="1:12">
      <c r="A69" s="7">
        <f>IF(ISNUMBER(BidScale!A69),IF(AND(BidScale!A69&gt;Lower,BidScale!A69&lt;Upper,ROUND(BidScale!A69-0.1,4)&gt;=Lower,ROUND(BidScale!A69-0.1,4)&lt;=Upper),ROUND(BidScale!A69-0.1,4),""),"")</f>
        <v>42.4</v>
      </c>
      <c r="B69" s="8">
        <f>IF(ISNUMBER(BidScale!A69),IF(AND(BidScale!A69&gt;Lower,BidScale!A69&lt;Upper,ROUND(BidScale!A69,4)&gt;=Lower,ROUND(BidScale!A69,4)&lt;=Upper),ROUND(BidScale!A69,4),""),"")</f>
        <v>42.5</v>
      </c>
      <c r="C69" s="7">
        <f>IF(ISNUMBER(BidScale!B69),IF(AND(BidScale!B69&gt;Lower,BidScale!B69&lt;Upper,ROUND(BidScale!B69-0.1,4)&gt;=Lower,ROUND(BidScale!B69-0.1,4)&lt;=Upper),ROUND(BidScale!B69-0.1,4),""),"")</f>
        <v>52.4</v>
      </c>
      <c r="D69" s="8">
        <f>IF(ISNUMBER(BidScale!B69),IF(AND(BidScale!B69&gt;Lower,BidScale!B69&lt;Upper,ROUND(BidScale!B69,4)&gt;=Lower,ROUND(BidScale!B69,4)&lt;=Upper),ROUND(BidScale!B69,4),""),"")</f>
        <v>52.5</v>
      </c>
      <c r="E69" s="7">
        <f>IF(ISNUMBER(BidScale!C69),IF(AND(BidScale!C69&gt;Lower,BidScale!C69&lt;Upper,ROUND(BidScale!C69-0.1,4)&gt;=Lower,ROUND(BidScale!C69-0.1,4)&lt;=Upper),ROUND(BidScale!C69-0.1,4),""),"")</f>
        <v>62.4</v>
      </c>
      <c r="F69" s="8">
        <f>IF(ISNUMBER(BidScale!C69),IF(AND(BidScale!C69&gt;Lower,BidScale!C69&lt;Upper,ROUND(BidScale!C69,4)&gt;=Lower,ROUND(BidScale!C69,4)&lt;=Upper),ROUND(BidScale!C69,4),""),"")</f>
        <v>62.5</v>
      </c>
      <c r="G69" s="9">
        <f>IF(ISNUMBER(BidScale!D69),IF(AND(BidScale!D69&gt;Lower,BidScale!D69&lt;Upper,ROUND(BidScale!D69,4)&gt;=Lower,ROUND(BidScale!D69,4)&lt;=Upper),ROUND(BidScale!D69,4),""),"")</f>
        <v>72.5</v>
      </c>
      <c r="H69" s="10">
        <f>IF(ISNUMBER(BidScale!D69),IF(AND(BidScale!D69&gt;Lower,BidScale!D69&lt;Upper,ROUND(BidScale!D69+0.1,4)&gt;=Lower,ROUND(BidScale!D69+0.1,4)&lt;=Upper),ROUND(BidScale!D69+0.1,4),""),"")</f>
        <v>72.599999999999994</v>
      </c>
      <c r="I69" s="9">
        <f>IF(ISNUMBER(BidScale!E69),IF(AND(BidScale!E69&gt;Lower,BidScale!E69&lt;Upper,ROUND(BidScale!E69,4)&gt;=Lower,ROUND(BidScale!E69,4)&lt;=Upper),ROUND(BidScale!E69,4),""),"")</f>
        <v>82.5</v>
      </c>
      <c r="J69" s="10">
        <f>IF(ISNUMBER(BidScale!E69),IF(AND(BidScale!E69&gt;Lower,BidScale!E69&lt;Upper,ROUND(BidScale!E69+0.1,4)&gt;=Lower,ROUND(BidScale!E69+0.1,4)&lt;=Upper),ROUND(BidScale!E69+0.1,4),""),"")</f>
        <v>82.6</v>
      </c>
      <c r="K69" s="9">
        <f>IF(ISNUMBER(BidScale!F69),IF(AND(BidScale!F69&gt;Lower,BidScale!F69&lt;Upper,ROUND(BidScale!F69,4)&gt;=Lower,ROUND(BidScale!F69,4)&lt;=Upper),ROUND(BidScale!F69,4),""),"")</f>
        <v>92.5</v>
      </c>
      <c r="L69" s="10">
        <f>IF(ISNUMBER(BidScale!F69),IF(AND(BidScale!F69&gt;Lower,BidScale!F69&lt;Upper,ROUND(BidScale!F69+0.1,4)&gt;=Lower,ROUND(BidScale!F69+0.1,4)&lt;=Upper),ROUND(BidScale!F69+0.1,4),""),"")</f>
        <v>92.6</v>
      </c>
    </row>
    <row r="70" spans="1:12">
      <c r="A70" s="7">
        <f>IF(ISNUMBER(BidScale!A70),IF(AND(BidScale!A70&gt;Lower,BidScale!A70&lt;Upper,ROUND(BidScale!A70-0.1,4)&gt;=Lower,ROUND(BidScale!A70-0.1,4)&lt;=Upper),ROUND(BidScale!A70-0.1,4),""),"")</f>
        <v>52.4</v>
      </c>
      <c r="B70" s="8">
        <f>IF(ISNUMBER(BidScale!A70),IF(AND(BidScale!A70&gt;Lower,BidScale!A70&lt;Upper,ROUND(BidScale!A70,4)&gt;=Lower,ROUND(BidScale!A70,4)&lt;=Upper),ROUND(BidScale!A70,4),""),"")</f>
        <v>52.5</v>
      </c>
      <c r="C70" s="7">
        <f>IF(ISNUMBER(BidScale!B70),IF(AND(BidScale!B70&gt;Lower,BidScale!B70&lt;Upper,ROUND(BidScale!B70-0.1,4)&gt;=Lower,ROUND(BidScale!B70-0.1,4)&lt;=Upper),ROUND(BidScale!B70-0.1,4),""),"")</f>
        <v>62.4</v>
      </c>
      <c r="D70" s="8">
        <f>IF(ISNUMBER(BidScale!B70),IF(AND(BidScale!B70&gt;Lower,BidScale!B70&lt;Upper,ROUND(BidScale!B70,4)&gt;=Lower,ROUND(BidScale!B70,4)&lt;=Upper),ROUND(BidScale!B70,4),""),"")</f>
        <v>62.5</v>
      </c>
      <c r="E70" s="7">
        <f>IF(ISNUMBER(BidScale!C70),IF(AND(BidScale!C70&gt;Lower,BidScale!C70&lt;Upper,ROUND(BidScale!C70-0.1,4)&gt;=Lower,ROUND(BidScale!C70-0.1,4)&lt;=Upper),ROUND(BidScale!C70-0.1,4),""),"")</f>
        <v>72.400000000000006</v>
      </c>
      <c r="F70" s="8">
        <f>IF(ISNUMBER(BidScale!C70),IF(AND(BidScale!C70&gt;Lower,BidScale!C70&lt;Upper,ROUND(BidScale!C70,4)&gt;=Lower,ROUND(BidScale!C70,4)&lt;=Upper),ROUND(BidScale!C70,4),""),"")</f>
        <v>72.5</v>
      </c>
      <c r="G70" s="9">
        <f>IF(ISNUMBER(BidScale!D70),IF(AND(BidScale!D70&gt;Lower,BidScale!D70&lt;Upper,ROUND(BidScale!D70,4)&gt;=Lower,ROUND(BidScale!D70,4)&lt;=Upper),ROUND(BidScale!D70,4),""),"")</f>
        <v>82.5</v>
      </c>
      <c r="H70" s="10">
        <f>IF(ISNUMBER(BidScale!D70),IF(AND(BidScale!D70&gt;Lower,BidScale!D70&lt;Upper,ROUND(BidScale!D70+0.1,4)&gt;=Lower,ROUND(BidScale!D70+0.1,4)&lt;=Upper),ROUND(BidScale!D70+0.1,4),""),"")</f>
        <v>82.6</v>
      </c>
      <c r="I70" s="9">
        <f>IF(ISNUMBER(BidScale!E70),IF(AND(BidScale!E70&gt;Lower,BidScale!E70&lt;Upper,ROUND(BidScale!E70,4)&gt;=Lower,ROUND(BidScale!E70,4)&lt;=Upper),ROUND(BidScale!E70,4),""),"")</f>
        <v>92.5</v>
      </c>
      <c r="J70" s="10">
        <f>IF(ISNUMBER(BidScale!E70),IF(AND(BidScale!E70&gt;Lower,BidScale!E70&lt;Upper,ROUND(BidScale!E70+0.1,4)&gt;=Lower,ROUND(BidScale!E70+0.1,4)&lt;=Upper),ROUND(BidScale!E70+0.1,4),""),"")</f>
        <v>92.6</v>
      </c>
      <c r="K70" s="9">
        <f>IF(ISNUMBER(BidScale!F70),IF(AND(BidScale!F70&gt;Lower,BidScale!F70&lt;Upper,ROUND(BidScale!F70,4)&gt;=Lower,ROUND(BidScale!F70,4)&lt;=Upper),ROUND(BidScale!F70,4),""),"")</f>
        <v>102.5</v>
      </c>
      <c r="L70" s="10">
        <f>IF(ISNUMBER(BidScale!F70),IF(AND(BidScale!F70&gt;Lower,BidScale!F70&lt;Upper,ROUND(BidScale!F70+0.1,4)&gt;=Lower,ROUND(BidScale!F70+0.1,4)&lt;=Upper),ROUND(BidScale!F70+0.1,4),""),"")</f>
        <v>102.6</v>
      </c>
    </row>
    <row r="71" spans="1:12">
      <c r="A71" s="7">
        <f>IF(ISNUMBER(BidScale!A71),IF(AND(BidScale!A71&gt;Lower,BidScale!A71&lt;Upper,ROUND(BidScale!A71-0.1,4)&gt;=Lower,ROUND(BidScale!A71-0.1,4)&lt;=Upper),ROUND(BidScale!A71-0.1,4),""),"")</f>
        <v>62.4</v>
      </c>
      <c r="B71" s="8">
        <f>IF(ISNUMBER(BidScale!A71),IF(AND(BidScale!A71&gt;Lower,BidScale!A71&lt;Upper,ROUND(BidScale!A71,4)&gt;=Lower,ROUND(BidScale!A71,4)&lt;=Upper),ROUND(BidScale!A71,4),""),"")</f>
        <v>62.5</v>
      </c>
      <c r="C71" s="7">
        <f>IF(ISNUMBER(BidScale!B71),IF(AND(BidScale!B71&gt;Lower,BidScale!B71&lt;Upper,ROUND(BidScale!B71-0.1,4)&gt;=Lower,ROUND(BidScale!B71-0.1,4)&lt;=Upper),ROUND(BidScale!B71-0.1,4),""),"")</f>
        <v>72.400000000000006</v>
      </c>
      <c r="D71" s="8">
        <f>IF(ISNUMBER(BidScale!B71),IF(AND(BidScale!B71&gt;Lower,BidScale!B71&lt;Upper,ROUND(BidScale!B71,4)&gt;=Lower,ROUND(BidScale!B71,4)&lt;=Upper),ROUND(BidScale!B71,4),""),"")</f>
        <v>72.5</v>
      </c>
      <c r="E71" s="7">
        <f>IF(ISNUMBER(BidScale!C71),IF(AND(BidScale!C71&gt;Lower,BidScale!C71&lt;Upper,ROUND(BidScale!C71-0.1,4)&gt;=Lower,ROUND(BidScale!C71-0.1,4)&lt;=Upper),ROUND(BidScale!C71-0.1,4),""),"")</f>
        <v>82.4</v>
      </c>
      <c r="F71" s="8">
        <f>IF(ISNUMBER(BidScale!C71),IF(AND(BidScale!C71&gt;Lower,BidScale!C71&lt;Upper,ROUND(BidScale!C71,4)&gt;=Lower,ROUND(BidScale!C71,4)&lt;=Upper),ROUND(BidScale!C71,4),""),"")</f>
        <v>82.5</v>
      </c>
      <c r="G71" s="9">
        <f>IF(ISNUMBER(BidScale!D71),IF(AND(BidScale!D71&gt;Lower,BidScale!D71&lt;Upper,ROUND(BidScale!D71,4)&gt;=Lower,ROUND(BidScale!D71,4)&lt;=Upper),ROUND(BidScale!D71,4),""),"")</f>
        <v>92.5</v>
      </c>
      <c r="H71" s="10">
        <f>IF(ISNUMBER(BidScale!D71),IF(AND(BidScale!D71&gt;Lower,BidScale!D71&lt;Upper,ROUND(BidScale!D71+0.1,4)&gt;=Lower,ROUND(BidScale!D71+0.1,4)&lt;=Upper),ROUND(BidScale!D71+0.1,4),""),"")</f>
        <v>92.6</v>
      </c>
      <c r="I71" s="9">
        <f>IF(ISNUMBER(BidScale!E71),IF(AND(BidScale!E71&gt;Lower,BidScale!E71&lt;Upper,ROUND(BidScale!E71,4)&gt;=Lower,ROUND(BidScale!E71,4)&lt;=Upper),ROUND(BidScale!E71,4),""),"")</f>
        <v>102.5</v>
      </c>
      <c r="J71" s="10">
        <f>IF(ISNUMBER(BidScale!E71),IF(AND(BidScale!E71&gt;Lower,BidScale!E71&lt;Upper,ROUND(BidScale!E71+0.1,4)&gt;=Lower,ROUND(BidScale!E71+0.1,4)&lt;=Upper),ROUND(BidScale!E71+0.1,4),""),"")</f>
        <v>102.6</v>
      </c>
      <c r="K71" s="9">
        <f>IF(ISNUMBER(BidScale!F71),IF(AND(BidScale!F71&gt;Lower,BidScale!F71&lt;Upper,ROUND(BidScale!F71,4)&gt;=Lower,ROUND(BidScale!F71,4)&lt;=Upper),ROUND(BidScale!F71,4),""),"")</f>
        <v>112.5</v>
      </c>
      <c r="L71" s="10">
        <f>IF(ISNUMBER(BidScale!F71),IF(AND(BidScale!F71&gt;Lower,BidScale!F71&lt;Upper,ROUND(BidScale!F71+0.1,4)&gt;=Lower,ROUND(BidScale!F71+0.1,4)&lt;=Upper),ROUND(BidScale!F71+0.1,4),""),"")</f>
        <v>112.6</v>
      </c>
    </row>
    <row r="72" spans="1:12">
      <c r="A72" s="7">
        <f>IF(ISNUMBER(BidScale!A72),IF(AND(BidScale!A72&gt;Lower,BidScale!A72&lt;Upper,ROUND(BidScale!A72-0.1,4)&gt;=Lower,ROUND(BidScale!A72-0.1,4)&lt;=Upper),ROUND(BidScale!A72-0.1,4),""),"")</f>
        <v>67.400000000000006</v>
      </c>
      <c r="B72" s="8">
        <f>IF(ISNUMBER(BidScale!A72),IF(AND(BidScale!A72&gt;Lower,BidScale!A72&lt;Upper,ROUND(BidScale!A72,4)&gt;=Lower,ROUND(BidScale!A72,4)&lt;=Upper),ROUND(BidScale!A72,4),""),"")</f>
        <v>67.5</v>
      </c>
      <c r="C72" s="7">
        <f>IF(ISNUMBER(BidScale!B72),IF(AND(BidScale!B72&gt;Lower,BidScale!B72&lt;Upper,ROUND(BidScale!B72-0.1,4)&gt;=Lower,ROUND(BidScale!B72-0.1,4)&lt;=Upper),ROUND(BidScale!B72-0.1,4),""),"")</f>
        <v>77.400000000000006</v>
      </c>
      <c r="D72" s="8">
        <f>IF(ISNUMBER(BidScale!B72),IF(AND(BidScale!B72&gt;Lower,BidScale!B72&lt;Upper,ROUND(BidScale!B72,4)&gt;=Lower,ROUND(BidScale!B72,4)&lt;=Upper),ROUND(BidScale!B72,4),""),"")</f>
        <v>77.5</v>
      </c>
      <c r="E72" s="7">
        <f>IF(ISNUMBER(BidScale!C72),IF(AND(BidScale!C72&gt;Lower,BidScale!C72&lt;Upper,ROUND(BidScale!C72-0.1,4)&gt;=Lower,ROUND(BidScale!C72-0.1,4)&lt;=Upper),ROUND(BidScale!C72-0.1,4),""),"")</f>
        <v>87.4</v>
      </c>
      <c r="F72" s="8">
        <f>IF(ISNUMBER(BidScale!C72),IF(AND(BidScale!C72&gt;Lower,BidScale!C72&lt;Upper,ROUND(BidScale!C72,4)&gt;=Lower,ROUND(BidScale!C72,4)&lt;=Upper),ROUND(BidScale!C72,4),""),"")</f>
        <v>87.5</v>
      </c>
      <c r="G72" s="9">
        <f>IF(ISNUMBER(BidScale!D72),IF(AND(BidScale!D72&gt;Lower,BidScale!D72&lt;Upper,ROUND(BidScale!D72,4)&gt;=Lower,ROUND(BidScale!D72,4)&lt;=Upper),ROUND(BidScale!D72,4),""),"")</f>
        <v>97.5</v>
      </c>
      <c r="H72" s="10">
        <f>IF(ISNUMBER(BidScale!D72),IF(AND(BidScale!D72&gt;Lower,BidScale!D72&lt;Upper,ROUND(BidScale!D72+0.1,4)&gt;=Lower,ROUND(BidScale!D72+0.1,4)&lt;=Upper),ROUND(BidScale!D72+0.1,4),""),"")</f>
        <v>97.6</v>
      </c>
      <c r="I72" s="9">
        <f>IF(ISNUMBER(BidScale!E72),IF(AND(BidScale!E72&gt;Lower,BidScale!E72&lt;Upper,ROUND(BidScale!E72,4)&gt;=Lower,ROUND(BidScale!E72,4)&lt;=Upper),ROUND(BidScale!E72,4),""),"")</f>
        <v>107.5</v>
      </c>
      <c r="J72" s="10">
        <f>IF(ISNUMBER(BidScale!E72),IF(AND(BidScale!E72&gt;Lower,BidScale!E72&lt;Upper,ROUND(BidScale!E72+0.1,4)&gt;=Lower,ROUND(BidScale!E72+0.1,4)&lt;=Upper),ROUND(BidScale!E72+0.1,4),""),"")</f>
        <v>107.6</v>
      </c>
      <c r="K72" s="9">
        <f>IF(ISNUMBER(BidScale!F72),IF(AND(BidScale!F72&gt;Lower,BidScale!F72&lt;Upper,ROUND(BidScale!F72,4)&gt;=Lower,ROUND(BidScale!F72,4)&lt;=Upper),ROUND(BidScale!F72,4),""),"")</f>
        <v>117.5</v>
      </c>
      <c r="L72" s="10">
        <f>IF(ISNUMBER(BidScale!F72),IF(AND(BidScale!F72&gt;Lower,BidScale!F72&lt;Upper,ROUND(BidScale!F72+0.1,4)&gt;=Lower,ROUND(BidScale!F72+0.1,4)&lt;=Upper),ROUND(BidScale!F72+0.1,4),""),"")</f>
        <v>117.6</v>
      </c>
    </row>
    <row r="73" spans="1:12">
      <c r="A73" s="7">
        <f>IF(ISNUMBER(BidScale!A73),IF(AND(BidScale!A73&gt;Lower,BidScale!A73&lt;Upper,ROUND(BidScale!A73-0.1,4)&gt;=Lower,ROUND(BidScale!A73-0.1,4)&lt;=Upper),ROUND(BidScale!A73-0.1,4),""),"")</f>
        <v>69.900000000000006</v>
      </c>
      <c r="B73" s="8">
        <f>IF(ISNUMBER(BidScale!A73),IF(AND(BidScale!A73&gt;Lower,BidScale!A73&lt;Upper,ROUND(BidScale!A73,4)&gt;=Lower,ROUND(BidScale!A73,4)&lt;=Upper),ROUND(BidScale!A73,4),""),"")</f>
        <v>70</v>
      </c>
      <c r="C73" s="7">
        <f>IF(ISNUMBER(BidScale!B73),IF(AND(BidScale!B73&gt;Lower,BidScale!B73&lt;Upper,ROUND(BidScale!B73-0.1,4)&gt;=Lower,ROUND(BidScale!B73-0.1,4)&lt;=Upper),ROUND(BidScale!B73-0.1,4),""),"")</f>
        <v>79.900000000000006</v>
      </c>
      <c r="D73" s="8">
        <f>IF(ISNUMBER(BidScale!B73),IF(AND(BidScale!B73&gt;Lower,BidScale!B73&lt;Upper,ROUND(BidScale!B73,4)&gt;=Lower,ROUND(BidScale!B73,4)&lt;=Upper),ROUND(BidScale!B73,4),""),"")</f>
        <v>80</v>
      </c>
      <c r="E73" s="7">
        <f>IF(ISNUMBER(BidScale!C73),IF(AND(BidScale!C73&gt;Lower,BidScale!C73&lt;Upper,ROUND(BidScale!C73-0.1,4)&gt;=Lower,ROUND(BidScale!C73-0.1,4)&lt;=Upper),ROUND(BidScale!C73-0.1,4),""),"")</f>
        <v>89.9</v>
      </c>
      <c r="F73" s="8">
        <f>IF(ISNUMBER(BidScale!C73),IF(AND(BidScale!C73&gt;Lower,BidScale!C73&lt;Upper,ROUND(BidScale!C73,4)&gt;=Lower,ROUND(BidScale!C73,4)&lt;=Upper),ROUND(BidScale!C73,4),""),"")</f>
        <v>90</v>
      </c>
      <c r="G73" s="9">
        <f>IF(ISNUMBER(BidScale!D73),IF(AND(BidScale!D73&gt;Lower,BidScale!D73&lt;Upper,ROUND(BidScale!D73,4)&gt;=Lower,ROUND(BidScale!D73,4)&lt;=Upper),ROUND(BidScale!D73,4),""),"")</f>
        <v>100</v>
      </c>
      <c r="H73" s="10">
        <f>IF(ISNUMBER(BidScale!D73),IF(AND(BidScale!D73&gt;Lower,BidScale!D73&lt;Upper,ROUND(BidScale!D73+0.1,4)&gt;=Lower,ROUND(BidScale!D73+0.1,4)&lt;=Upper),ROUND(BidScale!D73+0.1,4),""),"")</f>
        <v>100.1</v>
      </c>
      <c r="I73" s="9">
        <f>IF(ISNUMBER(BidScale!E73),IF(AND(BidScale!E73&gt;Lower,BidScale!E73&lt;Upper,ROUND(BidScale!E73,4)&gt;=Lower,ROUND(BidScale!E73,4)&lt;=Upper),ROUND(BidScale!E73,4),""),"")</f>
        <v>110</v>
      </c>
      <c r="J73" s="10">
        <f>IF(ISNUMBER(BidScale!E73),IF(AND(BidScale!E73&gt;Lower,BidScale!E73&lt;Upper,ROUND(BidScale!E73+0.1,4)&gt;=Lower,ROUND(BidScale!E73+0.1,4)&lt;=Upper),ROUND(BidScale!E73+0.1,4),""),"")</f>
        <v>110.1</v>
      </c>
      <c r="K73" s="9">
        <f>IF(ISNUMBER(BidScale!F73),IF(AND(BidScale!F73&gt;Lower,BidScale!F73&lt;Upper,ROUND(BidScale!F73,4)&gt;=Lower,ROUND(BidScale!F73,4)&lt;=Upper),ROUND(BidScale!F73,4),""),"")</f>
        <v>120</v>
      </c>
      <c r="L73" s="10">
        <f>IF(ISNUMBER(BidScale!F73),IF(AND(BidScale!F73&gt;Lower,BidScale!F73&lt;Upper,ROUND(BidScale!F73+0.1,4)&gt;=Lower,ROUND(BidScale!F73+0.1,4)&lt;=Upper),ROUND(BidScale!F73+0.1,4),""),"")</f>
        <v>120.1</v>
      </c>
    </row>
    <row r="74" spans="1:12">
      <c r="A74" s="7">
        <f>IF(ISNUMBER(BidScale!A74),IF(AND(BidScale!A74&gt;Lower,BidScale!A74&lt;Upper,ROUND(BidScale!A74-0.1,4)&gt;=Lower,ROUND(BidScale!A74-0.1,4)&lt;=Upper),ROUND(BidScale!A74-0.1,4),""),"")</f>
        <v>77.400000000000006</v>
      </c>
      <c r="B74" s="8">
        <f>IF(ISNUMBER(BidScale!A74),IF(AND(BidScale!A74&gt;Lower,BidScale!A74&lt;Upper,ROUND(BidScale!A74,4)&gt;=Lower,ROUND(BidScale!A74,4)&lt;=Upper),ROUND(BidScale!A74,4),""),"")</f>
        <v>77.5</v>
      </c>
      <c r="C74" s="7">
        <f>IF(ISNUMBER(BidScale!B74),IF(AND(BidScale!B74&gt;Lower,BidScale!B74&lt;Upper,ROUND(BidScale!B74-0.1,4)&gt;=Lower,ROUND(BidScale!B74-0.1,4)&lt;=Upper),ROUND(BidScale!B74-0.1,4),""),"")</f>
        <v>87.4</v>
      </c>
      <c r="D74" s="8">
        <f>IF(ISNUMBER(BidScale!B74),IF(AND(BidScale!B74&gt;Lower,BidScale!B74&lt;Upper,ROUND(BidScale!B74,4)&gt;=Lower,ROUND(BidScale!B74,4)&lt;=Upper),ROUND(BidScale!B74,4),""),"")</f>
        <v>87.5</v>
      </c>
      <c r="E74" s="7">
        <f>IF(ISNUMBER(BidScale!C74),IF(AND(BidScale!C74&gt;Lower,BidScale!C74&lt;Upper,ROUND(BidScale!C74-0.1,4)&gt;=Lower,ROUND(BidScale!C74-0.1,4)&lt;=Upper),ROUND(BidScale!C74-0.1,4),""),"")</f>
        <v>97.4</v>
      </c>
      <c r="F74" s="8">
        <f>IF(ISNUMBER(BidScale!C74),IF(AND(BidScale!C74&gt;Lower,BidScale!C74&lt;Upper,ROUND(BidScale!C74,4)&gt;=Lower,ROUND(BidScale!C74,4)&lt;=Upper),ROUND(BidScale!C74,4),""),"")</f>
        <v>97.5</v>
      </c>
      <c r="G74" s="9">
        <f>IF(ISNUMBER(BidScale!D74),IF(AND(BidScale!D74&gt;Lower,BidScale!D74&lt;Upper,ROUND(BidScale!D74,4)&gt;=Lower,ROUND(BidScale!D74,4)&lt;=Upper),ROUND(BidScale!D74,4),""),"")</f>
        <v>107.5</v>
      </c>
      <c r="H74" s="10">
        <f>IF(ISNUMBER(BidScale!D74),IF(AND(BidScale!D74&gt;Lower,BidScale!D74&lt;Upper,ROUND(BidScale!D74+0.1,4)&gt;=Lower,ROUND(BidScale!D74+0.1,4)&lt;=Upper),ROUND(BidScale!D74+0.1,4),""),"")</f>
        <v>107.6</v>
      </c>
      <c r="I74" s="9">
        <f>IF(ISNUMBER(BidScale!E74),IF(AND(BidScale!E74&gt;Lower,BidScale!E74&lt;Upper,ROUND(BidScale!E74,4)&gt;=Lower,ROUND(BidScale!E74,4)&lt;=Upper),ROUND(BidScale!E74,4),""),"")</f>
        <v>117.5</v>
      </c>
      <c r="J74" s="10">
        <f>IF(ISNUMBER(BidScale!E74),IF(AND(BidScale!E74&gt;Lower,BidScale!E74&lt;Upper,ROUND(BidScale!E74+0.1,4)&gt;=Lower,ROUND(BidScale!E74+0.1,4)&lt;=Upper),ROUND(BidScale!E74+0.1,4),""),"")</f>
        <v>117.6</v>
      </c>
      <c r="K74" s="9">
        <f>IF(ISNUMBER(BidScale!F74),IF(AND(BidScale!F74&gt;Lower,BidScale!F74&lt;Upper,ROUND(BidScale!F74,4)&gt;=Lower,ROUND(BidScale!F74,4)&lt;=Upper),ROUND(BidScale!F74,4),""),"")</f>
        <v>127.5</v>
      </c>
      <c r="L74" s="10">
        <f>IF(ISNUMBER(BidScale!F74),IF(AND(BidScale!F74&gt;Lower,BidScale!F74&lt;Upper,ROUND(BidScale!F74+0.1,4)&gt;=Lower,ROUND(BidScale!F74+0.1,4)&lt;=Upper),ROUND(BidScale!F74+0.1,4),""),"")</f>
        <v>127.6</v>
      </c>
    </row>
    <row r="75" spans="1:12">
      <c r="A75" s="7">
        <f>IF(ISNUMBER(BidScale!A75),IF(AND(BidScale!A75&gt;Lower,BidScale!A75&lt;Upper,ROUND(BidScale!A75-0.1,4)&gt;=Lower,ROUND(BidScale!A75-0.1,4)&lt;=Upper),ROUND(BidScale!A75-0.1,4),""),"")</f>
        <v>84.9</v>
      </c>
      <c r="B75" s="8">
        <f>IF(ISNUMBER(BidScale!A75),IF(AND(BidScale!A75&gt;Lower,BidScale!A75&lt;Upper,ROUND(BidScale!A75,4)&gt;=Lower,ROUND(BidScale!A75,4)&lt;=Upper),ROUND(BidScale!A75,4),""),"")</f>
        <v>85</v>
      </c>
      <c r="C75" s="7">
        <f>IF(ISNUMBER(BidScale!B75),IF(AND(BidScale!B75&gt;Lower,BidScale!B75&lt;Upper,ROUND(BidScale!B75-0.1,4)&gt;=Lower,ROUND(BidScale!B75-0.1,4)&lt;=Upper),ROUND(BidScale!B75-0.1,4),""),"")</f>
        <v>94.9</v>
      </c>
      <c r="D75" s="8">
        <f>IF(ISNUMBER(BidScale!B75),IF(AND(BidScale!B75&gt;Lower,BidScale!B75&lt;Upper,ROUND(BidScale!B75,4)&gt;=Lower,ROUND(BidScale!B75,4)&lt;=Upper),ROUND(BidScale!B75,4),""),"")</f>
        <v>95</v>
      </c>
      <c r="E75" s="7">
        <f>IF(ISNUMBER(BidScale!C75),IF(AND(BidScale!C75&gt;Lower,BidScale!C75&lt;Upper,ROUND(BidScale!C75-0.1,4)&gt;=Lower,ROUND(BidScale!C75-0.1,4)&lt;=Upper),ROUND(BidScale!C75-0.1,4),""),"")</f>
        <v>104.9</v>
      </c>
      <c r="F75" s="8">
        <f>IF(ISNUMBER(BidScale!C75),IF(AND(BidScale!C75&gt;Lower,BidScale!C75&lt;Upper,ROUND(BidScale!C75,4)&gt;=Lower,ROUND(BidScale!C75,4)&lt;=Upper),ROUND(BidScale!C75,4),""),"")</f>
        <v>105</v>
      </c>
      <c r="G75" s="9">
        <f>IF(ISNUMBER(BidScale!D75),IF(AND(BidScale!D75&gt;Lower,BidScale!D75&lt;Upper,ROUND(BidScale!D75,4)&gt;=Lower,ROUND(BidScale!D75,4)&lt;=Upper),ROUND(BidScale!D75,4),""),"")</f>
        <v>115</v>
      </c>
      <c r="H75" s="10">
        <f>IF(ISNUMBER(BidScale!D75),IF(AND(BidScale!D75&gt;Lower,BidScale!D75&lt;Upper,ROUND(BidScale!D75+0.1,4)&gt;=Lower,ROUND(BidScale!D75+0.1,4)&lt;=Upper),ROUND(BidScale!D75+0.1,4),""),"")</f>
        <v>115.1</v>
      </c>
      <c r="I75" s="9">
        <f>IF(ISNUMBER(BidScale!E75),IF(AND(BidScale!E75&gt;Lower,BidScale!E75&lt;Upper,ROUND(BidScale!E75,4)&gt;=Lower,ROUND(BidScale!E75,4)&lt;=Upper),ROUND(BidScale!E75,4),""),"")</f>
        <v>125</v>
      </c>
      <c r="J75" s="10">
        <f>IF(ISNUMBER(BidScale!E75),IF(AND(BidScale!E75&gt;Lower,BidScale!E75&lt;Upper,ROUND(BidScale!E75+0.1,4)&gt;=Lower,ROUND(BidScale!E75+0.1,4)&lt;=Upper),ROUND(BidScale!E75+0.1,4),""),"")</f>
        <v>125.1</v>
      </c>
      <c r="K75" s="9">
        <f>IF(ISNUMBER(BidScale!F75),IF(AND(BidScale!F75&gt;Lower,BidScale!F75&lt;Upper,ROUND(BidScale!F75,4)&gt;=Lower,ROUND(BidScale!F75,4)&lt;=Upper),ROUND(BidScale!F75,4),""),"")</f>
        <v>135</v>
      </c>
      <c r="L75" s="10">
        <f>IF(ISNUMBER(BidScale!F75),IF(AND(BidScale!F75&gt;Lower,BidScale!F75&lt;Upper,ROUND(BidScale!F75+0.1,4)&gt;=Lower,ROUND(BidScale!F75+0.1,4)&lt;=Upper),ROUND(BidScale!F75+0.1,4),""),"")</f>
        <v>135.1</v>
      </c>
    </row>
    <row r="76" spans="1:12">
      <c r="A76" s="7">
        <f>IF(ISNUMBER(BidScale!A76),IF(AND(BidScale!A76&gt;Lower,BidScale!A76&lt;Upper,ROUND(BidScale!A76-0.1,4)&gt;=Lower,ROUND(BidScale!A76-0.1,4)&lt;=Upper),ROUND(BidScale!A76-0.1,4),""),"")</f>
        <v>84.9</v>
      </c>
      <c r="B76" s="8">
        <f>IF(ISNUMBER(BidScale!A76),IF(AND(BidScale!A76&gt;Lower,BidScale!A76&lt;Upper,ROUND(BidScale!A76,4)&gt;=Lower,ROUND(BidScale!A76,4)&lt;=Upper),ROUND(BidScale!A76,4),""),"")</f>
        <v>85</v>
      </c>
      <c r="C76" s="7">
        <f>IF(ISNUMBER(BidScale!B76),IF(AND(BidScale!B76&gt;Lower,BidScale!B76&lt;Upper,ROUND(BidScale!B76-0.1,4)&gt;=Lower,ROUND(BidScale!B76-0.1,4)&lt;=Upper),ROUND(BidScale!B76-0.1,4),""),"")</f>
        <v>94.9</v>
      </c>
      <c r="D76" s="8">
        <f>IF(ISNUMBER(BidScale!B76),IF(AND(BidScale!B76&gt;Lower,BidScale!B76&lt;Upper,ROUND(BidScale!B76,4)&gt;=Lower,ROUND(BidScale!B76,4)&lt;=Upper),ROUND(BidScale!B76,4),""),"")</f>
        <v>95</v>
      </c>
      <c r="E76" s="7">
        <f>IF(ISNUMBER(BidScale!C76),IF(AND(BidScale!C76&gt;Lower,BidScale!C76&lt;Upper,ROUND(BidScale!C76-0.1,4)&gt;=Lower,ROUND(BidScale!C76-0.1,4)&lt;=Upper),ROUND(BidScale!C76-0.1,4),""),"")</f>
        <v>104.9</v>
      </c>
      <c r="F76" s="8">
        <f>IF(ISNUMBER(BidScale!C76),IF(AND(BidScale!C76&gt;Lower,BidScale!C76&lt;Upper,ROUND(BidScale!C76,4)&gt;=Lower,ROUND(BidScale!C76,4)&lt;=Upper),ROUND(BidScale!C76,4),""),"")</f>
        <v>105</v>
      </c>
      <c r="G76" s="9">
        <f>IF(ISNUMBER(BidScale!D76),IF(AND(BidScale!D76&gt;Lower,BidScale!D76&lt;Upper,ROUND(BidScale!D76,4)&gt;=Lower,ROUND(BidScale!D76,4)&lt;=Upper),ROUND(BidScale!D76,4),""),"")</f>
        <v>115</v>
      </c>
      <c r="H76" s="10">
        <f>IF(ISNUMBER(BidScale!D76),IF(AND(BidScale!D76&gt;Lower,BidScale!D76&lt;Upper,ROUND(BidScale!D76+0.1,4)&gt;=Lower,ROUND(BidScale!D76+0.1,4)&lt;=Upper),ROUND(BidScale!D76+0.1,4),""),"")</f>
        <v>115.1</v>
      </c>
      <c r="I76" s="9">
        <f>IF(ISNUMBER(BidScale!E76),IF(AND(BidScale!E76&gt;Lower,BidScale!E76&lt;Upper,ROUND(BidScale!E76,4)&gt;=Lower,ROUND(BidScale!E76,4)&lt;=Upper),ROUND(BidScale!E76,4),""),"")</f>
        <v>125</v>
      </c>
      <c r="J76" s="10">
        <f>IF(ISNUMBER(BidScale!E76),IF(AND(BidScale!E76&gt;Lower,BidScale!E76&lt;Upper,ROUND(BidScale!E76+0.1,4)&gt;=Lower,ROUND(BidScale!E76+0.1,4)&lt;=Upper),ROUND(BidScale!E76+0.1,4),""),"")</f>
        <v>125.1</v>
      </c>
      <c r="K76" s="9">
        <f>IF(ISNUMBER(BidScale!F76),IF(AND(BidScale!F76&gt;Lower,BidScale!F76&lt;Upper,ROUND(BidScale!F76,4)&gt;=Lower,ROUND(BidScale!F76,4)&lt;=Upper),ROUND(BidScale!F76,4),""),"")</f>
        <v>135</v>
      </c>
      <c r="L76" s="10">
        <f>IF(ISNUMBER(BidScale!F76),IF(AND(BidScale!F76&gt;Lower,BidScale!F76&lt;Upper,ROUND(BidScale!F76+0.1,4)&gt;=Lower,ROUND(BidScale!F76+0.1,4)&lt;=Upper),ROUND(BidScale!F76+0.1,4),""),"")</f>
        <v>135.1</v>
      </c>
    </row>
    <row r="77" spans="1:12">
      <c r="A77" s="7">
        <f>IF(ISNUMBER(BidScale!A77),IF(AND(BidScale!A77&gt;Lower,BidScale!A77&lt;Upper,ROUND(BidScale!A77-0.1,4)&gt;=Lower,ROUND(BidScale!A77-0.1,4)&lt;=Upper),ROUND(BidScale!A77-0.1,4),""),"")</f>
        <v>84.9</v>
      </c>
      <c r="B77" s="8">
        <f>IF(ISNUMBER(BidScale!A77),IF(AND(BidScale!A77&gt;Lower,BidScale!A77&lt;Upper,ROUND(BidScale!A77,4)&gt;=Lower,ROUND(BidScale!A77,4)&lt;=Upper),ROUND(BidScale!A77,4),""),"")</f>
        <v>85</v>
      </c>
      <c r="C77" s="7">
        <f>IF(ISNUMBER(BidScale!B77),IF(AND(BidScale!B77&gt;Lower,BidScale!B77&lt;Upper,ROUND(BidScale!B77-0.1,4)&gt;=Lower,ROUND(BidScale!B77-0.1,4)&lt;=Upper),ROUND(BidScale!B77-0.1,4),""),"")</f>
        <v>94.9</v>
      </c>
      <c r="D77" s="8">
        <f>IF(ISNUMBER(BidScale!B77),IF(AND(BidScale!B77&gt;Lower,BidScale!B77&lt;Upper,ROUND(BidScale!B77,4)&gt;=Lower,ROUND(BidScale!B77,4)&lt;=Upper),ROUND(BidScale!B77,4),""),"")</f>
        <v>95</v>
      </c>
      <c r="E77" s="7">
        <f>IF(ISNUMBER(BidScale!C77),IF(AND(BidScale!C77&gt;Lower,BidScale!C77&lt;Upper,ROUND(BidScale!C77-0.1,4)&gt;=Lower,ROUND(BidScale!C77-0.1,4)&lt;=Upper),ROUND(BidScale!C77-0.1,4),""),"")</f>
        <v>104.9</v>
      </c>
      <c r="F77" s="8">
        <f>IF(ISNUMBER(BidScale!C77),IF(AND(BidScale!C77&gt;Lower,BidScale!C77&lt;Upper,ROUND(BidScale!C77,4)&gt;=Lower,ROUND(BidScale!C77,4)&lt;=Upper),ROUND(BidScale!C77,4),""),"")</f>
        <v>105</v>
      </c>
      <c r="G77" s="9">
        <f>IF(ISNUMBER(BidScale!D77),IF(AND(BidScale!D77&gt;Lower,BidScale!D77&lt;Upper,ROUND(BidScale!D77,4)&gt;=Lower,ROUND(BidScale!D77,4)&lt;=Upper),ROUND(BidScale!D77,4),""),"")</f>
        <v>115</v>
      </c>
      <c r="H77" s="10">
        <f>IF(ISNUMBER(BidScale!D77),IF(AND(BidScale!D77&gt;Lower,BidScale!D77&lt;Upper,ROUND(BidScale!D77+0.1,4)&gt;=Lower,ROUND(BidScale!D77+0.1,4)&lt;=Upper),ROUND(BidScale!D77+0.1,4),""),"")</f>
        <v>115.1</v>
      </c>
      <c r="I77" s="9">
        <f>IF(ISNUMBER(BidScale!E77),IF(AND(BidScale!E77&gt;Lower,BidScale!E77&lt;Upper,ROUND(BidScale!E77,4)&gt;=Lower,ROUND(BidScale!E77,4)&lt;=Upper),ROUND(BidScale!E77,4),""),"")</f>
        <v>125</v>
      </c>
      <c r="J77" s="10">
        <f>IF(ISNUMBER(BidScale!E77),IF(AND(BidScale!E77&gt;Lower,BidScale!E77&lt;Upper,ROUND(BidScale!E77+0.1,4)&gt;=Lower,ROUND(BidScale!E77+0.1,4)&lt;=Upper),ROUND(BidScale!E77+0.1,4),""),"")</f>
        <v>125.1</v>
      </c>
      <c r="K77" s="9">
        <f>IF(ISNUMBER(BidScale!F77),IF(AND(BidScale!F77&gt;Lower,BidScale!F77&lt;Upper,ROUND(BidScale!F77,4)&gt;=Lower,ROUND(BidScale!F77,4)&lt;=Upper),ROUND(BidScale!F77,4),""),"")</f>
        <v>135</v>
      </c>
      <c r="L77" s="10">
        <f>IF(ISNUMBER(BidScale!F77),IF(AND(BidScale!F77&gt;Lower,BidScale!F77&lt;Upper,ROUND(BidScale!F77+0.1,4)&gt;=Lower,ROUND(BidScale!F77+0.1,4)&lt;=Upper),ROUND(BidScale!F77+0.1,4),""),"")</f>
        <v>135.1</v>
      </c>
    </row>
    <row r="78" spans="1:12">
      <c r="A78" s="7">
        <f>IF(ISNUMBER(BidScale!A78),IF(AND(BidScale!A78&gt;Lower,BidScale!A78&lt;Upper,ROUND(BidScale!A78-0.1,4)&gt;=Lower,ROUND(BidScale!A78-0.1,4)&lt;=Upper),ROUND(BidScale!A78-0.1,4),""),"")</f>
        <v>89.9</v>
      </c>
      <c r="B78" s="8">
        <f>IF(ISNUMBER(BidScale!A78),IF(AND(BidScale!A78&gt;Lower,BidScale!A78&lt;Upper,ROUND(BidScale!A78,4)&gt;=Lower,ROUND(BidScale!A78,4)&lt;=Upper),ROUND(BidScale!A78,4),""),"")</f>
        <v>90</v>
      </c>
      <c r="C78" s="7">
        <f>IF(ISNUMBER(BidScale!B78),IF(AND(BidScale!B78&gt;Lower,BidScale!B78&lt;Upper,ROUND(BidScale!B78-0.1,4)&gt;=Lower,ROUND(BidScale!B78-0.1,4)&lt;=Upper),ROUND(BidScale!B78-0.1,4),""),"")</f>
        <v>99.9</v>
      </c>
      <c r="D78" s="8">
        <f>IF(ISNUMBER(BidScale!B78),IF(AND(BidScale!B78&gt;Lower,BidScale!B78&lt;Upper,ROUND(BidScale!B78,4)&gt;=Lower,ROUND(BidScale!B78,4)&lt;=Upper),ROUND(BidScale!B78,4),""),"")</f>
        <v>100</v>
      </c>
      <c r="E78" s="7">
        <f>IF(ISNUMBER(BidScale!C78),IF(AND(BidScale!C78&gt;Lower,BidScale!C78&lt;Upper,ROUND(BidScale!C78-0.1,4)&gt;=Lower,ROUND(BidScale!C78-0.1,4)&lt;=Upper),ROUND(BidScale!C78-0.1,4),""),"")</f>
        <v>109.9</v>
      </c>
      <c r="F78" s="8">
        <f>IF(ISNUMBER(BidScale!C78),IF(AND(BidScale!C78&gt;Lower,BidScale!C78&lt;Upper,ROUND(BidScale!C78,4)&gt;=Lower,ROUND(BidScale!C78,4)&lt;=Upper),ROUND(BidScale!C78,4),""),"")</f>
        <v>110</v>
      </c>
      <c r="G78" s="9">
        <f>IF(ISNUMBER(BidScale!D78),IF(AND(BidScale!D78&gt;Lower,BidScale!D78&lt;Upper,ROUND(BidScale!D78,4)&gt;=Lower,ROUND(BidScale!D78,4)&lt;=Upper),ROUND(BidScale!D78,4),""),"")</f>
        <v>120</v>
      </c>
      <c r="H78" s="10">
        <f>IF(ISNUMBER(BidScale!D78),IF(AND(BidScale!D78&gt;Lower,BidScale!D78&lt;Upper,ROUND(BidScale!D78+0.1,4)&gt;=Lower,ROUND(BidScale!D78+0.1,4)&lt;=Upper),ROUND(BidScale!D78+0.1,4),""),"")</f>
        <v>120.1</v>
      </c>
      <c r="I78" s="9">
        <f>IF(ISNUMBER(BidScale!E78),IF(AND(BidScale!E78&gt;Lower,BidScale!E78&lt;Upper,ROUND(BidScale!E78,4)&gt;=Lower,ROUND(BidScale!E78,4)&lt;=Upper),ROUND(BidScale!E78,4),""),"")</f>
        <v>130</v>
      </c>
      <c r="J78" s="10">
        <f>IF(ISNUMBER(BidScale!E78),IF(AND(BidScale!E78&gt;Lower,BidScale!E78&lt;Upper,ROUND(BidScale!E78+0.1,4)&gt;=Lower,ROUND(BidScale!E78+0.1,4)&lt;=Upper),ROUND(BidScale!E78+0.1,4),""),"")</f>
        <v>130.1</v>
      </c>
      <c r="K78" s="9">
        <f>IF(ISNUMBER(BidScale!F78),IF(AND(BidScale!F78&gt;Lower,BidScale!F78&lt;Upper,ROUND(BidScale!F78,4)&gt;=Lower,ROUND(BidScale!F78,4)&lt;=Upper),ROUND(BidScale!F78,4),""),"")</f>
        <v>140</v>
      </c>
      <c r="L78" s="10">
        <f>IF(ISNUMBER(BidScale!F78),IF(AND(BidScale!F78&gt;Lower,BidScale!F78&lt;Upper,ROUND(BidScale!F78+0.1,4)&gt;=Lower,ROUND(BidScale!F78+0.1,4)&lt;=Upper),ROUND(BidScale!F78+0.1,4),""),"")</f>
        <v>140.1</v>
      </c>
    </row>
    <row r="79" spans="1:12">
      <c r="A79" s="7">
        <f>IF(ISNUMBER(BidScale!A79),IF(AND(BidScale!A79&gt;Lower,BidScale!A79&lt;Upper,ROUND(BidScale!A79-0.1,4)&gt;=Lower,ROUND(BidScale!A79-0.1,4)&lt;=Upper),ROUND(BidScale!A79-0.1,4),""),"")</f>
        <v>92.4</v>
      </c>
      <c r="B79" s="8">
        <f>IF(ISNUMBER(BidScale!A79),IF(AND(BidScale!A79&gt;Lower,BidScale!A79&lt;Upper,ROUND(BidScale!A79,4)&gt;=Lower,ROUND(BidScale!A79,4)&lt;=Upper),ROUND(BidScale!A79,4),""),"")</f>
        <v>92.5</v>
      </c>
      <c r="C79" s="7">
        <f>IF(ISNUMBER(BidScale!B79),IF(AND(BidScale!B79&gt;Lower,BidScale!B79&lt;Upper,ROUND(BidScale!B79-0.1,4)&gt;=Lower,ROUND(BidScale!B79-0.1,4)&lt;=Upper),ROUND(BidScale!B79-0.1,4),""),"")</f>
        <v>102.4</v>
      </c>
      <c r="D79" s="8">
        <f>IF(ISNUMBER(BidScale!B79),IF(AND(BidScale!B79&gt;Lower,BidScale!B79&lt;Upper,ROUND(BidScale!B79,4)&gt;=Lower,ROUND(BidScale!B79,4)&lt;=Upper),ROUND(BidScale!B79,4),""),"")</f>
        <v>102.5</v>
      </c>
      <c r="E79" s="7">
        <f>IF(ISNUMBER(BidScale!C79),IF(AND(BidScale!C79&gt;Lower,BidScale!C79&lt;Upper,ROUND(BidScale!C79-0.1,4)&gt;=Lower,ROUND(BidScale!C79-0.1,4)&lt;=Upper),ROUND(BidScale!C79-0.1,4),""),"")</f>
        <v>112.4</v>
      </c>
      <c r="F79" s="8">
        <f>IF(ISNUMBER(BidScale!C79),IF(AND(BidScale!C79&gt;Lower,BidScale!C79&lt;Upper,ROUND(BidScale!C79,4)&gt;=Lower,ROUND(BidScale!C79,4)&lt;=Upper),ROUND(BidScale!C79,4),""),"")</f>
        <v>112.5</v>
      </c>
      <c r="G79" s="9">
        <f>IF(ISNUMBER(BidScale!D79),IF(AND(BidScale!D79&gt;Lower,BidScale!D79&lt;Upper,ROUND(BidScale!D79,4)&gt;=Lower,ROUND(BidScale!D79,4)&lt;=Upper),ROUND(BidScale!D79,4),""),"")</f>
        <v>122.5</v>
      </c>
      <c r="H79" s="10">
        <f>IF(ISNUMBER(BidScale!D79),IF(AND(BidScale!D79&gt;Lower,BidScale!D79&lt;Upper,ROUND(BidScale!D79+0.1,4)&gt;=Lower,ROUND(BidScale!D79+0.1,4)&lt;=Upper),ROUND(BidScale!D79+0.1,4),""),"")</f>
        <v>122.6</v>
      </c>
      <c r="I79" s="9">
        <f>IF(ISNUMBER(BidScale!E79),IF(AND(BidScale!E79&gt;Lower,BidScale!E79&lt;Upper,ROUND(BidScale!E79,4)&gt;=Lower,ROUND(BidScale!E79,4)&lt;=Upper),ROUND(BidScale!E79,4),""),"")</f>
        <v>132.5</v>
      </c>
      <c r="J79" s="10">
        <f>IF(ISNUMBER(BidScale!E79),IF(AND(BidScale!E79&gt;Lower,BidScale!E79&lt;Upper,ROUND(BidScale!E79+0.1,4)&gt;=Lower,ROUND(BidScale!E79+0.1,4)&lt;=Upper),ROUND(BidScale!E79+0.1,4),""),"")</f>
        <v>132.6</v>
      </c>
      <c r="K79" s="9">
        <f>IF(ISNUMBER(BidScale!F79),IF(AND(BidScale!F79&gt;Lower,BidScale!F79&lt;Upper,ROUND(BidScale!F79,4)&gt;=Lower,ROUND(BidScale!F79,4)&lt;=Upper),ROUND(BidScale!F79,4),""),"")</f>
        <v>142.5</v>
      </c>
      <c r="L79" s="10">
        <f>IF(ISNUMBER(BidScale!F79),IF(AND(BidScale!F79&gt;Lower,BidScale!F79&lt;Upper,ROUND(BidScale!F79+0.1,4)&gt;=Lower,ROUND(BidScale!F79+0.1,4)&lt;=Upper),ROUND(BidScale!F79+0.1,4),""),"")</f>
        <v>142.6</v>
      </c>
    </row>
    <row r="80" spans="1:12">
      <c r="A80" s="7">
        <f>IF(ISNUMBER(BidScale!A80),IF(AND(BidScale!A80&gt;Lower,BidScale!A80&lt;Upper,ROUND(BidScale!A80-0.1,4)&gt;=Lower,ROUND(BidScale!A80-0.1,4)&lt;=Upper),ROUND(BidScale!A80-0.1,4),""),"")</f>
        <v>87.4</v>
      </c>
      <c r="B80" s="8">
        <f>IF(ISNUMBER(BidScale!A80),IF(AND(BidScale!A80&gt;Lower,BidScale!A80&lt;Upper,ROUND(BidScale!A80,4)&gt;=Lower,ROUND(BidScale!A80,4)&lt;=Upper),ROUND(BidScale!A80,4),""),"")</f>
        <v>87.5</v>
      </c>
      <c r="C80" s="7">
        <f>IF(ISNUMBER(BidScale!B80),IF(AND(BidScale!B80&gt;Lower,BidScale!B80&lt;Upper,ROUND(BidScale!B80-0.1,4)&gt;=Lower,ROUND(BidScale!B80-0.1,4)&lt;=Upper),ROUND(BidScale!B80-0.1,4),""),"")</f>
        <v>97.4</v>
      </c>
      <c r="D80" s="8">
        <f>IF(ISNUMBER(BidScale!B80),IF(AND(BidScale!B80&gt;Lower,BidScale!B80&lt;Upper,ROUND(BidScale!B80,4)&gt;=Lower,ROUND(BidScale!B80,4)&lt;=Upper),ROUND(BidScale!B80,4),""),"")</f>
        <v>97.5</v>
      </c>
      <c r="E80" s="7">
        <f>IF(ISNUMBER(BidScale!C80),IF(AND(BidScale!C80&gt;Lower,BidScale!C80&lt;Upper,ROUND(BidScale!C80-0.1,4)&gt;=Lower,ROUND(BidScale!C80-0.1,4)&lt;=Upper),ROUND(BidScale!C80-0.1,4),""),"")</f>
        <v>107.4</v>
      </c>
      <c r="F80" s="8">
        <f>IF(ISNUMBER(BidScale!C80),IF(AND(BidScale!C80&gt;Lower,BidScale!C80&lt;Upper,ROUND(BidScale!C80,4)&gt;=Lower,ROUND(BidScale!C80,4)&lt;=Upper),ROUND(BidScale!C80,4),""),"")</f>
        <v>107.5</v>
      </c>
      <c r="G80" s="9">
        <f>IF(ISNUMBER(BidScale!D80),IF(AND(BidScale!D80&gt;Lower,BidScale!D80&lt;Upper,ROUND(BidScale!D80,4)&gt;=Lower,ROUND(BidScale!D80,4)&lt;=Upper),ROUND(BidScale!D80,4),""),"")</f>
        <v>117.5</v>
      </c>
      <c r="H80" s="10">
        <f>IF(ISNUMBER(BidScale!D80),IF(AND(BidScale!D80&gt;Lower,BidScale!D80&lt;Upper,ROUND(BidScale!D80+0.1,4)&gt;=Lower,ROUND(BidScale!D80+0.1,4)&lt;=Upper),ROUND(BidScale!D80+0.1,4),""),"")</f>
        <v>117.6</v>
      </c>
      <c r="I80" s="9">
        <f>IF(ISNUMBER(BidScale!E80),IF(AND(BidScale!E80&gt;Lower,BidScale!E80&lt;Upper,ROUND(BidScale!E80,4)&gt;=Lower,ROUND(BidScale!E80,4)&lt;=Upper),ROUND(BidScale!E80,4),""),"")</f>
        <v>127.5</v>
      </c>
      <c r="J80" s="10">
        <f>IF(ISNUMBER(BidScale!E80),IF(AND(BidScale!E80&gt;Lower,BidScale!E80&lt;Upper,ROUND(BidScale!E80+0.1,4)&gt;=Lower,ROUND(BidScale!E80+0.1,4)&lt;=Upper),ROUND(BidScale!E80+0.1,4),""),"")</f>
        <v>127.6</v>
      </c>
      <c r="K80" s="9">
        <f>IF(ISNUMBER(BidScale!F80),IF(AND(BidScale!F80&gt;Lower,BidScale!F80&lt;Upper,ROUND(BidScale!F80,4)&gt;=Lower,ROUND(BidScale!F80,4)&lt;=Upper),ROUND(BidScale!F80,4),""),"")</f>
        <v>137.5</v>
      </c>
      <c r="L80" s="10">
        <f>IF(ISNUMBER(BidScale!F80),IF(AND(BidScale!F80&gt;Lower,BidScale!F80&lt;Upper,ROUND(BidScale!F80+0.1,4)&gt;=Lower,ROUND(BidScale!F80+0.1,4)&lt;=Upper),ROUND(BidScale!F80+0.1,4),""),"")</f>
        <v>137.6</v>
      </c>
    </row>
    <row r="81" spans="1:12">
      <c r="A81" s="7">
        <f>IF(ISNUMBER(BidScale!A81),IF(AND(BidScale!A81&gt;Lower,BidScale!A81&lt;Upper,ROUND(BidScale!A81-0.1,4)&gt;=Lower,ROUND(BidScale!A81-0.1,4)&lt;=Upper),ROUND(BidScale!A81-0.1,4),""),"")</f>
        <v>82.4</v>
      </c>
      <c r="B81" s="8">
        <f>IF(ISNUMBER(BidScale!A81),IF(AND(BidScale!A81&gt;Lower,BidScale!A81&lt;Upper,ROUND(BidScale!A81,4)&gt;=Lower,ROUND(BidScale!A81,4)&lt;=Upper),ROUND(BidScale!A81,4),""),"")</f>
        <v>82.5</v>
      </c>
      <c r="C81" s="7">
        <f>IF(ISNUMBER(BidScale!B81),IF(AND(BidScale!B81&gt;Lower,BidScale!B81&lt;Upper,ROUND(BidScale!B81-0.1,4)&gt;=Lower,ROUND(BidScale!B81-0.1,4)&lt;=Upper),ROUND(BidScale!B81-0.1,4),""),"")</f>
        <v>92.4</v>
      </c>
      <c r="D81" s="8">
        <f>IF(ISNUMBER(BidScale!B81),IF(AND(BidScale!B81&gt;Lower,BidScale!B81&lt;Upper,ROUND(BidScale!B81,4)&gt;=Lower,ROUND(BidScale!B81,4)&lt;=Upper),ROUND(BidScale!B81,4),""),"")</f>
        <v>92.5</v>
      </c>
      <c r="E81" s="7">
        <f>IF(ISNUMBER(BidScale!C81),IF(AND(BidScale!C81&gt;Lower,BidScale!C81&lt;Upper,ROUND(BidScale!C81-0.1,4)&gt;=Lower,ROUND(BidScale!C81-0.1,4)&lt;=Upper),ROUND(BidScale!C81-0.1,4),""),"")</f>
        <v>102.4</v>
      </c>
      <c r="F81" s="8">
        <f>IF(ISNUMBER(BidScale!C81),IF(AND(BidScale!C81&gt;Lower,BidScale!C81&lt;Upper,ROUND(BidScale!C81,4)&gt;=Lower,ROUND(BidScale!C81,4)&lt;=Upper),ROUND(BidScale!C81,4),""),"")</f>
        <v>102.5</v>
      </c>
      <c r="G81" s="9">
        <f>IF(ISNUMBER(BidScale!D81),IF(AND(BidScale!D81&gt;Lower,BidScale!D81&lt;Upper,ROUND(BidScale!D81,4)&gt;=Lower,ROUND(BidScale!D81,4)&lt;=Upper),ROUND(BidScale!D81,4),""),"")</f>
        <v>112.5</v>
      </c>
      <c r="H81" s="10">
        <f>IF(ISNUMBER(BidScale!D81),IF(AND(BidScale!D81&gt;Lower,BidScale!D81&lt;Upper,ROUND(BidScale!D81+0.1,4)&gt;=Lower,ROUND(BidScale!D81+0.1,4)&lt;=Upper),ROUND(BidScale!D81+0.1,4),""),"")</f>
        <v>112.6</v>
      </c>
      <c r="I81" s="9">
        <f>IF(ISNUMBER(BidScale!E81),IF(AND(BidScale!E81&gt;Lower,BidScale!E81&lt;Upper,ROUND(BidScale!E81,4)&gt;=Lower,ROUND(BidScale!E81,4)&lt;=Upper),ROUND(BidScale!E81,4),""),"")</f>
        <v>122.5</v>
      </c>
      <c r="J81" s="10">
        <f>IF(ISNUMBER(BidScale!E81),IF(AND(BidScale!E81&gt;Lower,BidScale!E81&lt;Upper,ROUND(BidScale!E81+0.1,4)&gt;=Lower,ROUND(BidScale!E81+0.1,4)&lt;=Upper),ROUND(BidScale!E81+0.1,4),""),"")</f>
        <v>122.6</v>
      </c>
      <c r="K81" s="9">
        <f>IF(ISNUMBER(BidScale!F81),IF(AND(BidScale!F81&gt;Lower,BidScale!F81&lt;Upper,ROUND(BidScale!F81,4)&gt;=Lower,ROUND(BidScale!F81,4)&lt;=Upper),ROUND(BidScale!F81,4),""),"")</f>
        <v>132.5</v>
      </c>
      <c r="L81" s="10">
        <f>IF(ISNUMBER(BidScale!F81),IF(AND(BidScale!F81&gt;Lower,BidScale!F81&lt;Upper,ROUND(BidScale!F81+0.1,4)&gt;=Lower,ROUND(BidScale!F81+0.1,4)&lt;=Upper),ROUND(BidScale!F81+0.1,4),""),"")</f>
        <v>132.6</v>
      </c>
    </row>
    <row r="82" spans="1:12">
      <c r="A82" s="7">
        <f>IF(ISNUMBER(BidScale!A82),IF(AND(BidScale!A82&gt;Lower,BidScale!A82&lt;Upper,ROUND(BidScale!A82-0.1,4)&gt;=Lower,ROUND(BidScale!A82-0.1,4)&lt;=Upper),ROUND(BidScale!A82-0.1,4),""),"")</f>
        <v>79.900000000000006</v>
      </c>
      <c r="B82" s="8">
        <f>IF(ISNUMBER(BidScale!A82),IF(AND(BidScale!A82&gt;Lower,BidScale!A82&lt;Upper,ROUND(BidScale!A82,4)&gt;=Lower,ROUND(BidScale!A82,4)&lt;=Upper),ROUND(BidScale!A82,4),""),"")</f>
        <v>80</v>
      </c>
      <c r="C82" s="7">
        <f>IF(ISNUMBER(BidScale!B82),IF(AND(BidScale!B82&gt;Lower,BidScale!B82&lt;Upper,ROUND(BidScale!B82-0.1,4)&gt;=Lower,ROUND(BidScale!B82-0.1,4)&lt;=Upper),ROUND(BidScale!B82-0.1,4),""),"")</f>
        <v>89.9</v>
      </c>
      <c r="D82" s="8">
        <f>IF(ISNUMBER(BidScale!B82),IF(AND(BidScale!B82&gt;Lower,BidScale!B82&lt;Upper,ROUND(BidScale!B82,4)&gt;=Lower,ROUND(BidScale!B82,4)&lt;=Upper),ROUND(BidScale!B82,4),""),"")</f>
        <v>90</v>
      </c>
      <c r="E82" s="7">
        <f>IF(ISNUMBER(BidScale!C82),IF(AND(BidScale!C82&gt;Lower,BidScale!C82&lt;Upper,ROUND(BidScale!C82-0.1,4)&gt;=Lower,ROUND(BidScale!C82-0.1,4)&lt;=Upper),ROUND(BidScale!C82-0.1,4),""),"")</f>
        <v>99.9</v>
      </c>
      <c r="F82" s="8">
        <f>IF(ISNUMBER(BidScale!C82),IF(AND(BidScale!C82&gt;Lower,BidScale!C82&lt;Upper,ROUND(BidScale!C82,4)&gt;=Lower,ROUND(BidScale!C82,4)&lt;=Upper),ROUND(BidScale!C82,4),""),"")</f>
        <v>100</v>
      </c>
      <c r="G82" s="9">
        <f>IF(ISNUMBER(BidScale!D82),IF(AND(BidScale!D82&gt;Lower,BidScale!D82&lt;Upper,ROUND(BidScale!D82,4)&gt;=Lower,ROUND(BidScale!D82,4)&lt;=Upper),ROUND(BidScale!D82,4),""),"")</f>
        <v>110</v>
      </c>
      <c r="H82" s="10">
        <f>IF(ISNUMBER(BidScale!D82),IF(AND(BidScale!D82&gt;Lower,BidScale!D82&lt;Upper,ROUND(BidScale!D82+0.1,4)&gt;=Lower,ROUND(BidScale!D82+0.1,4)&lt;=Upper),ROUND(BidScale!D82+0.1,4),""),"")</f>
        <v>110.1</v>
      </c>
      <c r="I82" s="9">
        <f>IF(ISNUMBER(BidScale!E82),IF(AND(BidScale!E82&gt;Lower,BidScale!E82&lt;Upper,ROUND(BidScale!E82,4)&gt;=Lower,ROUND(BidScale!E82,4)&lt;=Upper),ROUND(BidScale!E82,4),""),"")</f>
        <v>120</v>
      </c>
      <c r="J82" s="10">
        <f>IF(ISNUMBER(BidScale!E82),IF(AND(BidScale!E82&gt;Lower,BidScale!E82&lt;Upper,ROUND(BidScale!E82+0.1,4)&gt;=Lower,ROUND(BidScale!E82+0.1,4)&lt;=Upper),ROUND(BidScale!E82+0.1,4),""),"")</f>
        <v>120.1</v>
      </c>
      <c r="K82" s="9">
        <f>IF(ISNUMBER(BidScale!F82),IF(AND(BidScale!F82&gt;Lower,BidScale!F82&lt;Upper,ROUND(BidScale!F82,4)&gt;=Lower,ROUND(BidScale!F82,4)&lt;=Upper),ROUND(BidScale!F82,4),""),"")</f>
        <v>130</v>
      </c>
      <c r="L82" s="10">
        <f>IF(ISNUMBER(BidScale!F82),IF(AND(BidScale!F82&gt;Lower,BidScale!F82&lt;Upper,ROUND(BidScale!F82+0.1,4)&gt;=Lower,ROUND(BidScale!F82+0.1,4)&lt;=Upper),ROUND(BidScale!F82+0.1,4),""),"")</f>
        <v>130.1</v>
      </c>
    </row>
    <row r="83" spans="1:12">
      <c r="A83" s="7">
        <f>IF(ISNUMBER(BidScale!A83),IF(AND(BidScale!A83&gt;Lower,BidScale!A83&lt;Upper,ROUND(BidScale!A83-0.1,4)&gt;=Lower,ROUND(BidScale!A83-0.1,4)&lt;=Upper),ROUND(BidScale!A83-0.1,4),""),"")</f>
        <v>77.400000000000006</v>
      </c>
      <c r="B83" s="8">
        <f>IF(ISNUMBER(BidScale!A83),IF(AND(BidScale!A83&gt;Lower,BidScale!A83&lt;Upper,ROUND(BidScale!A83,4)&gt;=Lower,ROUND(BidScale!A83,4)&lt;=Upper),ROUND(BidScale!A83,4),""),"")</f>
        <v>77.5</v>
      </c>
      <c r="C83" s="7">
        <f>IF(ISNUMBER(BidScale!B83),IF(AND(BidScale!B83&gt;Lower,BidScale!B83&lt;Upper,ROUND(BidScale!B83-0.1,4)&gt;=Lower,ROUND(BidScale!B83-0.1,4)&lt;=Upper),ROUND(BidScale!B83-0.1,4),""),"")</f>
        <v>87.4</v>
      </c>
      <c r="D83" s="8">
        <f>IF(ISNUMBER(BidScale!B83),IF(AND(BidScale!B83&gt;Lower,BidScale!B83&lt;Upper,ROUND(BidScale!B83,4)&gt;=Lower,ROUND(BidScale!B83,4)&lt;=Upper),ROUND(BidScale!B83,4),""),"")</f>
        <v>87.5</v>
      </c>
      <c r="E83" s="7">
        <f>IF(ISNUMBER(BidScale!C83),IF(AND(BidScale!C83&gt;Lower,BidScale!C83&lt;Upper,ROUND(BidScale!C83-0.1,4)&gt;=Lower,ROUND(BidScale!C83-0.1,4)&lt;=Upper),ROUND(BidScale!C83-0.1,4),""),"")</f>
        <v>97.4</v>
      </c>
      <c r="F83" s="8">
        <f>IF(ISNUMBER(BidScale!C83),IF(AND(BidScale!C83&gt;Lower,BidScale!C83&lt;Upper,ROUND(BidScale!C83,4)&gt;=Lower,ROUND(BidScale!C83,4)&lt;=Upper),ROUND(BidScale!C83,4),""),"")</f>
        <v>97.5</v>
      </c>
      <c r="G83" s="9">
        <f>IF(ISNUMBER(BidScale!D83),IF(AND(BidScale!D83&gt;Lower,BidScale!D83&lt;Upper,ROUND(BidScale!D83,4)&gt;=Lower,ROUND(BidScale!D83,4)&lt;=Upper),ROUND(BidScale!D83,4),""),"")</f>
        <v>107.5</v>
      </c>
      <c r="H83" s="10">
        <f>IF(ISNUMBER(BidScale!D83),IF(AND(BidScale!D83&gt;Lower,BidScale!D83&lt;Upper,ROUND(BidScale!D83+0.1,4)&gt;=Lower,ROUND(BidScale!D83+0.1,4)&lt;=Upper),ROUND(BidScale!D83+0.1,4),""),"")</f>
        <v>107.6</v>
      </c>
      <c r="I83" s="9">
        <f>IF(ISNUMBER(BidScale!E83),IF(AND(BidScale!E83&gt;Lower,BidScale!E83&lt;Upper,ROUND(BidScale!E83,4)&gt;=Lower,ROUND(BidScale!E83,4)&lt;=Upper),ROUND(BidScale!E83,4),""),"")</f>
        <v>117.5</v>
      </c>
      <c r="J83" s="10">
        <f>IF(ISNUMBER(BidScale!E83),IF(AND(BidScale!E83&gt;Lower,BidScale!E83&lt;Upper,ROUND(BidScale!E83+0.1,4)&gt;=Lower,ROUND(BidScale!E83+0.1,4)&lt;=Upper),ROUND(BidScale!E83+0.1,4),""),"")</f>
        <v>117.6</v>
      </c>
      <c r="K83" s="9">
        <f>IF(ISNUMBER(BidScale!F83),IF(AND(BidScale!F83&gt;Lower,BidScale!F83&lt;Upper,ROUND(BidScale!F83,4)&gt;=Lower,ROUND(BidScale!F83,4)&lt;=Upper),ROUND(BidScale!F83,4),""),"")</f>
        <v>127.5</v>
      </c>
      <c r="L83" s="10">
        <f>IF(ISNUMBER(BidScale!F83),IF(AND(BidScale!F83&gt;Lower,BidScale!F83&lt;Upper,ROUND(BidScale!F83+0.1,4)&gt;=Lower,ROUND(BidScale!F83+0.1,4)&lt;=Upper),ROUND(BidScale!F83+0.1,4),""),"")</f>
        <v>127.6</v>
      </c>
    </row>
    <row r="84" spans="1:12">
      <c r="A84" s="7">
        <f>IF(ISNUMBER(BidScale!A84),IF(AND(BidScale!A84&gt;Lower,BidScale!A84&lt;Upper,ROUND(BidScale!A84-0.1,4)&gt;=Lower,ROUND(BidScale!A84-0.1,4)&lt;=Upper),ROUND(BidScale!A84-0.1,4),""),"")</f>
        <v>69.900000000000006</v>
      </c>
      <c r="B84" s="8">
        <f>IF(ISNUMBER(BidScale!A84),IF(AND(BidScale!A84&gt;Lower,BidScale!A84&lt;Upper,ROUND(BidScale!A84,4)&gt;=Lower,ROUND(BidScale!A84,4)&lt;=Upper),ROUND(BidScale!A84,4),""),"")</f>
        <v>70</v>
      </c>
      <c r="C84" s="7">
        <f>IF(ISNUMBER(BidScale!B84),IF(AND(BidScale!B84&gt;Lower,BidScale!B84&lt;Upper,ROUND(BidScale!B84-0.1,4)&gt;=Lower,ROUND(BidScale!B84-0.1,4)&lt;=Upper),ROUND(BidScale!B84-0.1,4),""),"")</f>
        <v>79.900000000000006</v>
      </c>
      <c r="D84" s="8">
        <f>IF(ISNUMBER(BidScale!B84),IF(AND(BidScale!B84&gt;Lower,BidScale!B84&lt;Upper,ROUND(BidScale!B84,4)&gt;=Lower,ROUND(BidScale!B84,4)&lt;=Upper),ROUND(BidScale!B84,4),""),"")</f>
        <v>80</v>
      </c>
      <c r="E84" s="7">
        <f>IF(ISNUMBER(BidScale!C84),IF(AND(BidScale!C84&gt;Lower,BidScale!C84&lt;Upper,ROUND(BidScale!C84-0.1,4)&gt;=Lower,ROUND(BidScale!C84-0.1,4)&lt;=Upper),ROUND(BidScale!C84-0.1,4),""),"")</f>
        <v>89.9</v>
      </c>
      <c r="F84" s="8">
        <f>IF(ISNUMBER(BidScale!C84),IF(AND(BidScale!C84&gt;Lower,BidScale!C84&lt;Upper,ROUND(BidScale!C84,4)&gt;=Lower,ROUND(BidScale!C84,4)&lt;=Upper),ROUND(BidScale!C84,4),""),"")</f>
        <v>90</v>
      </c>
      <c r="G84" s="9">
        <f>IF(ISNUMBER(BidScale!D84),IF(AND(BidScale!D84&gt;Lower,BidScale!D84&lt;Upper,ROUND(BidScale!D84,4)&gt;=Lower,ROUND(BidScale!D84,4)&lt;=Upper),ROUND(BidScale!D84,4),""),"")</f>
        <v>100</v>
      </c>
      <c r="H84" s="10">
        <f>IF(ISNUMBER(BidScale!D84),IF(AND(BidScale!D84&gt;Lower,BidScale!D84&lt;Upper,ROUND(BidScale!D84+0.1,4)&gt;=Lower,ROUND(BidScale!D84+0.1,4)&lt;=Upper),ROUND(BidScale!D84+0.1,4),""),"")</f>
        <v>100.1</v>
      </c>
      <c r="I84" s="9">
        <f>IF(ISNUMBER(BidScale!E84),IF(AND(BidScale!E84&gt;Lower,BidScale!E84&lt;Upper,ROUND(BidScale!E84,4)&gt;=Lower,ROUND(BidScale!E84,4)&lt;=Upper),ROUND(BidScale!E84,4),""),"")</f>
        <v>110</v>
      </c>
      <c r="J84" s="10">
        <f>IF(ISNUMBER(BidScale!E84),IF(AND(BidScale!E84&gt;Lower,BidScale!E84&lt;Upper,ROUND(BidScale!E84+0.1,4)&gt;=Lower,ROUND(BidScale!E84+0.1,4)&lt;=Upper),ROUND(BidScale!E84+0.1,4),""),"")</f>
        <v>110.1</v>
      </c>
      <c r="K84" s="9">
        <f>IF(ISNUMBER(BidScale!F84),IF(AND(BidScale!F84&gt;Lower,BidScale!F84&lt;Upper,ROUND(BidScale!F84,4)&gt;=Lower,ROUND(BidScale!F84,4)&lt;=Upper),ROUND(BidScale!F84,4),""),"")</f>
        <v>120</v>
      </c>
      <c r="L84" s="10">
        <f>IF(ISNUMBER(BidScale!F84),IF(AND(BidScale!F84&gt;Lower,BidScale!F84&lt;Upper,ROUND(BidScale!F84+0.1,4)&gt;=Lower,ROUND(BidScale!F84+0.1,4)&lt;=Upper),ROUND(BidScale!F84+0.1,4),""),"")</f>
        <v>120.1</v>
      </c>
    </row>
    <row r="85" spans="1:12">
      <c r="A85" s="7">
        <f>IF(ISNUMBER(BidScale!A85),IF(AND(BidScale!A85&gt;Lower,BidScale!A85&lt;Upper,ROUND(BidScale!A85-0.1,4)&gt;=Lower,ROUND(BidScale!A85-0.1,4)&lt;=Upper),ROUND(BidScale!A85-0.1,4),""),"")</f>
        <v>62.4</v>
      </c>
      <c r="B85" s="8">
        <f>IF(ISNUMBER(BidScale!A85),IF(AND(BidScale!A85&gt;Lower,BidScale!A85&lt;Upper,ROUND(BidScale!A85,4)&gt;=Lower,ROUND(BidScale!A85,4)&lt;=Upper),ROUND(BidScale!A85,4),""),"")</f>
        <v>62.5</v>
      </c>
      <c r="C85" s="7">
        <f>IF(ISNUMBER(BidScale!B85),IF(AND(BidScale!B85&gt;Lower,BidScale!B85&lt;Upper,ROUND(BidScale!B85-0.1,4)&gt;=Lower,ROUND(BidScale!B85-0.1,4)&lt;=Upper),ROUND(BidScale!B85-0.1,4),""),"")</f>
        <v>72.400000000000006</v>
      </c>
      <c r="D85" s="8">
        <f>IF(ISNUMBER(BidScale!B85),IF(AND(BidScale!B85&gt;Lower,BidScale!B85&lt;Upper,ROUND(BidScale!B85,4)&gt;=Lower,ROUND(BidScale!B85,4)&lt;=Upper),ROUND(BidScale!B85,4),""),"")</f>
        <v>72.5</v>
      </c>
      <c r="E85" s="7">
        <f>IF(ISNUMBER(BidScale!C85),IF(AND(BidScale!C85&gt;Lower,BidScale!C85&lt;Upper,ROUND(BidScale!C85-0.1,4)&gt;=Lower,ROUND(BidScale!C85-0.1,4)&lt;=Upper),ROUND(BidScale!C85-0.1,4),""),"")</f>
        <v>82.4</v>
      </c>
      <c r="F85" s="8">
        <f>IF(ISNUMBER(BidScale!C85),IF(AND(BidScale!C85&gt;Lower,BidScale!C85&lt;Upper,ROUND(BidScale!C85,4)&gt;=Lower,ROUND(BidScale!C85,4)&lt;=Upper),ROUND(BidScale!C85,4),""),"")</f>
        <v>82.5</v>
      </c>
      <c r="G85" s="9">
        <f>IF(ISNUMBER(BidScale!D85),IF(AND(BidScale!D85&gt;Lower,BidScale!D85&lt;Upper,ROUND(BidScale!D85,4)&gt;=Lower,ROUND(BidScale!D85,4)&lt;=Upper),ROUND(BidScale!D85,4),""),"")</f>
        <v>92.5</v>
      </c>
      <c r="H85" s="10">
        <f>IF(ISNUMBER(BidScale!D85),IF(AND(BidScale!D85&gt;Lower,BidScale!D85&lt;Upper,ROUND(BidScale!D85+0.1,4)&gt;=Lower,ROUND(BidScale!D85+0.1,4)&lt;=Upper),ROUND(BidScale!D85+0.1,4),""),"")</f>
        <v>92.6</v>
      </c>
      <c r="I85" s="9">
        <f>IF(ISNUMBER(BidScale!E85),IF(AND(BidScale!E85&gt;Lower,BidScale!E85&lt;Upper,ROUND(BidScale!E85,4)&gt;=Lower,ROUND(BidScale!E85,4)&lt;=Upper),ROUND(BidScale!E85,4),""),"")</f>
        <v>102.5</v>
      </c>
      <c r="J85" s="10">
        <f>IF(ISNUMBER(BidScale!E85),IF(AND(BidScale!E85&gt;Lower,BidScale!E85&lt;Upper,ROUND(BidScale!E85+0.1,4)&gt;=Lower,ROUND(BidScale!E85+0.1,4)&lt;=Upper),ROUND(BidScale!E85+0.1,4),""),"")</f>
        <v>102.6</v>
      </c>
      <c r="K85" s="9">
        <f>IF(ISNUMBER(BidScale!F85),IF(AND(BidScale!F85&gt;Lower,BidScale!F85&lt;Upper,ROUND(BidScale!F85,4)&gt;=Lower,ROUND(BidScale!F85,4)&lt;=Upper),ROUND(BidScale!F85,4),""),"")</f>
        <v>112.5</v>
      </c>
      <c r="L85" s="10">
        <f>IF(ISNUMBER(BidScale!F85),IF(AND(BidScale!F85&gt;Lower,BidScale!F85&lt;Upper,ROUND(BidScale!F85+0.1,4)&gt;=Lower,ROUND(BidScale!F85+0.1,4)&lt;=Upper),ROUND(BidScale!F85+0.1,4),""),"")</f>
        <v>112.6</v>
      </c>
    </row>
    <row r="86" spans="1:12">
      <c r="A86" s="7">
        <f>IF(ISNUMBER(BidScale!A86),IF(AND(BidScale!A86&gt;Lower,BidScale!A86&lt;Upper,ROUND(BidScale!A86-0.1,4)&gt;=Lower,ROUND(BidScale!A86-0.1,4)&lt;=Upper),ROUND(BidScale!A86-0.1,4),""),"")</f>
        <v>59.9</v>
      </c>
      <c r="B86" s="8">
        <f>IF(ISNUMBER(BidScale!A86),IF(AND(BidScale!A86&gt;Lower,BidScale!A86&lt;Upper,ROUND(BidScale!A86,4)&gt;=Lower,ROUND(BidScale!A86,4)&lt;=Upper),ROUND(BidScale!A86,4),""),"")</f>
        <v>60</v>
      </c>
      <c r="C86" s="7">
        <f>IF(ISNUMBER(BidScale!B86),IF(AND(BidScale!B86&gt;Lower,BidScale!B86&lt;Upper,ROUND(BidScale!B86-0.1,4)&gt;=Lower,ROUND(BidScale!B86-0.1,4)&lt;=Upper),ROUND(BidScale!B86-0.1,4),""),"")</f>
        <v>69.900000000000006</v>
      </c>
      <c r="D86" s="8">
        <f>IF(ISNUMBER(BidScale!B86),IF(AND(BidScale!B86&gt;Lower,BidScale!B86&lt;Upper,ROUND(BidScale!B86,4)&gt;=Lower,ROUND(BidScale!B86,4)&lt;=Upper),ROUND(BidScale!B86,4),""),"")</f>
        <v>70</v>
      </c>
      <c r="E86" s="7">
        <f>IF(ISNUMBER(BidScale!C86),IF(AND(BidScale!C86&gt;Lower,BidScale!C86&lt;Upper,ROUND(BidScale!C86-0.1,4)&gt;=Lower,ROUND(BidScale!C86-0.1,4)&lt;=Upper),ROUND(BidScale!C86-0.1,4),""),"")</f>
        <v>79.900000000000006</v>
      </c>
      <c r="F86" s="8">
        <f>IF(ISNUMBER(BidScale!C86),IF(AND(BidScale!C86&gt;Lower,BidScale!C86&lt;Upper,ROUND(BidScale!C86,4)&gt;=Lower,ROUND(BidScale!C86,4)&lt;=Upper),ROUND(BidScale!C86,4),""),"")</f>
        <v>80</v>
      </c>
      <c r="G86" s="9">
        <f>IF(ISNUMBER(BidScale!D86),IF(AND(BidScale!D86&gt;Lower,BidScale!D86&lt;Upper,ROUND(BidScale!D86,4)&gt;=Lower,ROUND(BidScale!D86,4)&lt;=Upper),ROUND(BidScale!D86,4),""),"")</f>
        <v>90</v>
      </c>
      <c r="H86" s="10">
        <f>IF(ISNUMBER(BidScale!D86),IF(AND(BidScale!D86&gt;Lower,BidScale!D86&lt;Upper,ROUND(BidScale!D86+0.1,4)&gt;=Lower,ROUND(BidScale!D86+0.1,4)&lt;=Upper),ROUND(BidScale!D86+0.1,4),""),"")</f>
        <v>90.1</v>
      </c>
      <c r="I86" s="9">
        <f>IF(ISNUMBER(BidScale!E86),IF(AND(BidScale!E86&gt;Lower,BidScale!E86&lt;Upper,ROUND(BidScale!E86,4)&gt;=Lower,ROUND(BidScale!E86,4)&lt;=Upper),ROUND(BidScale!E86,4),""),"")</f>
        <v>100</v>
      </c>
      <c r="J86" s="10">
        <f>IF(ISNUMBER(BidScale!E86),IF(AND(BidScale!E86&gt;Lower,BidScale!E86&lt;Upper,ROUND(BidScale!E86+0.1,4)&gt;=Lower,ROUND(BidScale!E86+0.1,4)&lt;=Upper),ROUND(BidScale!E86+0.1,4),""),"")</f>
        <v>100.1</v>
      </c>
      <c r="K86" s="9">
        <f>IF(ISNUMBER(BidScale!F86),IF(AND(BidScale!F86&gt;Lower,BidScale!F86&lt;Upper,ROUND(BidScale!F86,4)&gt;=Lower,ROUND(BidScale!F86,4)&lt;=Upper),ROUND(BidScale!F86,4),""),"")</f>
        <v>110</v>
      </c>
      <c r="L86" s="10">
        <f>IF(ISNUMBER(BidScale!F86),IF(AND(BidScale!F86&gt;Lower,BidScale!F86&lt;Upper,ROUND(BidScale!F86+0.1,4)&gt;=Lower,ROUND(BidScale!F86+0.1,4)&lt;=Upper),ROUND(BidScale!F86+0.1,4),""),"")</f>
        <v>110.1</v>
      </c>
    </row>
    <row r="87" spans="1:12">
      <c r="A87" s="7">
        <f>IF(ISNUMBER(BidScale!A87),IF(AND(BidScale!A87&gt;Lower,BidScale!A87&lt;Upper,ROUND(BidScale!A87-0.1,4)&gt;=Lower,ROUND(BidScale!A87-0.1,4)&lt;=Upper),ROUND(BidScale!A87-0.1,4),""),"")</f>
        <v>57.4</v>
      </c>
      <c r="B87" s="8">
        <f>IF(ISNUMBER(BidScale!A87),IF(AND(BidScale!A87&gt;Lower,BidScale!A87&lt;Upper,ROUND(BidScale!A87,4)&gt;=Lower,ROUND(BidScale!A87,4)&lt;=Upper),ROUND(BidScale!A87,4),""),"")</f>
        <v>57.5</v>
      </c>
      <c r="C87" s="7">
        <f>IF(ISNUMBER(BidScale!B87),IF(AND(BidScale!B87&gt;Lower,BidScale!B87&lt;Upper,ROUND(BidScale!B87-0.1,4)&gt;=Lower,ROUND(BidScale!B87-0.1,4)&lt;=Upper),ROUND(BidScale!B87-0.1,4),""),"")</f>
        <v>67.400000000000006</v>
      </c>
      <c r="D87" s="8">
        <f>IF(ISNUMBER(BidScale!B87),IF(AND(BidScale!B87&gt;Lower,BidScale!B87&lt;Upper,ROUND(BidScale!B87,4)&gt;=Lower,ROUND(BidScale!B87,4)&lt;=Upper),ROUND(BidScale!B87,4),""),"")</f>
        <v>67.5</v>
      </c>
      <c r="E87" s="7">
        <f>IF(ISNUMBER(BidScale!C87),IF(AND(BidScale!C87&gt;Lower,BidScale!C87&lt;Upper,ROUND(BidScale!C87-0.1,4)&gt;=Lower,ROUND(BidScale!C87-0.1,4)&lt;=Upper),ROUND(BidScale!C87-0.1,4),""),"")</f>
        <v>77.400000000000006</v>
      </c>
      <c r="F87" s="8">
        <f>IF(ISNUMBER(BidScale!C87),IF(AND(BidScale!C87&gt;Lower,BidScale!C87&lt;Upper,ROUND(BidScale!C87,4)&gt;=Lower,ROUND(BidScale!C87,4)&lt;=Upper),ROUND(BidScale!C87,4),""),"")</f>
        <v>77.5</v>
      </c>
      <c r="G87" s="9">
        <f>IF(ISNUMBER(BidScale!D87),IF(AND(BidScale!D87&gt;Lower,BidScale!D87&lt;Upper,ROUND(BidScale!D87,4)&gt;=Lower,ROUND(BidScale!D87,4)&lt;=Upper),ROUND(BidScale!D87,4),""),"")</f>
        <v>87.5</v>
      </c>
      <c r="H87" s="10">
        <f>IF(ISNUMBER(BidScale!D87),IF(AND(BidScale!D87&gt;Lower,BidScale!D87&lt;Upper,ROUND(BidScale!D87+0.1,4)&gt;=Lower,ROUND(BidScale!D87+0.1,4)&lt;=Upper),ROUND(BidScale!D87+0.1,4),""),"")</f>
        <v>87.6</v>
      </c>
      <c r="I87" s="9">
        <f>IF(ISNUMBER(BidScale!E87),IF(AND(BidScale!E87&gt;Lower,BidScale!E87&lt;Upper,ROUND(BidScale!E87,4)&gt;=Lower,ROUND(BidScale!E87,4)&lt;=Upper),ROUND(BidScale!E87,4),""),"")</f>
        <v>97.5</v>
      </c>
      <c r="J87" s="10">
        <f>IF(ISNUMBER(BidScale!E87),IF(AND(BidScale!E87&gt;Lower,BidScale!E87&lt;Upper,ROUND(BidScale!E87+0.1,4)&gt;=Lower,ROUND(BidScale!E87+0.1,4)&lt;=Upper),ROUND(BidScale!E87+0.1,4),""),"")</f>
        <v>97.6</v>
      </c>
      <c r="K87" s="9">
        <f>IF(ISNUMBER(BidScale!F87),IF(AND(BidScale!F87&gt;Lower,BidScale!F87&lt;Upper,ROUND(BidScale!F87,4)&gt;=Lower,ROUND(BidScale!F87,4)&lt;=Upper),ROUND(BidScale!F87,4),""),"")</f>
        <v>107.5</v>
      </c>
      <c r="L87" s="10">
        <f>IF(ISNUMBER(BidScale!F87),IF(AND(BidScale!F87&gt;Lower,BidScale!F87&lt;Upper,ROUND(BidScale!F87+0.1,4)&gt;=Lower,ROUND(BidScale!F87+0.1,4)&lt;=Upper),ROUND(BidScale!F87+0.1,4),""),"")</f>
        <v>107.6</v>
      </c>
    </row>
    <row r="88" spans="1:12">
      <c r="A88" s="7">
        <f>IF(ISNUMBER(BidScale!A88),IF(AND(BidScale!A88&gt;Lower,BidScale!A88&lt;Upper,ROUND(BidScale!A88-0.1,4)&gt;=Lower,ROUND(BidScale!A88-0.1,4)&lt;=Upper),ROUND(BidScale!A88-0.1,4),""),"")</f>
        <v>52.4</v>
      </c>
      <c r="B88" s="8">
        <f>IF(ISNUMBER(BidScale!A88),IF(AND(BidScale!A88&gt;Lower,BidScale!A88&lt;Upper,ROUND(BidScale!A88,4)&gt;=Lower,ROUND(BidScale!A88,4)&lt;=Upper),ROUND(BidScale!A88,4),""),"")</f>
        <v>52.5</v>
      </c>
      <c r="C88" s="7">
        <f>IF(ISNUMBER(BidScale!B88),IF(AND(BidScale!B88&gt;Lower,BidScale!B88&lt;Upper,ROUND(BidScale!B88-0.1,4)&gt;=Lower,ROUND(BidScale!B88-0.1,4)&lt;=Upper),ROUND(BidScale!B88-0.1,4),""),"")</f>
        <v>62.4</v>
      </c>
      <c r="D88" s="8">
        <f>IF(ISNUMBER(BidScale!B88),IF(AND(BidScale!B88&gt;Lower,BidScale!B88&lt;Upper,ROUND(BidScale!B88,4)&gt;=Lower,ROUND(BidScale!B88,4)&lt;=Upper),ROUND(BidScale!B88,4),""),"")</f>
        <v>62.5</v>
      </c>
      <c r="E88" s="7">
        <f>IF(ISNUMBER(BidScale!C88),IF(AND(BidScale!C88&gt;Lower,BidScale!C88&lt;Upper,ROUND(BidScale!C88-0.1,4)&gt;=Lower,ROUND(BidScale!C88-0.1,4)&lt;=Upper),ROUND(BidScale!C88-0.1,4),""),"")</f>
        <v>72.400000000000006</v>
      </c>
      <c r="F88" s="8">
        <f>IF(ISNUMBER(BidScale!C88),IF(AND(BidScale!C88&gt;Lower,BidScale!C88&lt;Upper,ROUND(BidScale!C88,4)&gt;=Lower,ROUND(BidScale!C88,4)&lt;=Upper),ROUND(BidScale!C88,4),""),"")</f>
        <v>72.5</v>
      </c>
      <c r="G88" s="9">
        <f>IF(ISNUMBER(BidScale!D88),IF(AND(BidScale!D88&gt;Lower,BidScale!D88&lt;Upper,ROUND(BidScale!D88,4)&gt;=Lower,ROUND(BidScale!D88,4)&lt;=Upper),ROUND(BidScale!D88,4),""),"")</f>
        <v>82.5</v>
      </c>
      <c r="H88" s="10">
        <f>IF(ISNUMBER(BidScale!D88),IF(AND(BidScale!D88&gt;Lower,BidScale!D88&lt;Upper,ROUND(BidScale!D88+0.1,4)&gt;=Lower,ROUND(BidScale!D88+0.1,4)&lt;=Upper),ROUND(BidScale!D88+0.1,4),""),"")</f>
        <v>82.6</v>
      </c>
      <c r="I88" s="9">
        <f>IF(ISNUMBER(BidScale!E88),IF(AND(BidScale!E88&gt;Lower,BidScale!E88&lt;Upper,ROUND(BidScale!E88,4)&gt;=Lower,ROUND(BidScale!E88,4)&lt;=Upper),ROUND(BidScale!E88,4),""),"")</f>
        <v>92.5</v>
      </c>
      <c r="J88" s="10">
        <f>IF(ISNUMBER(BidScale!E88),IF(AND(BidScale!E88&gt;Lower,BidScale!E88&lt;Upper,ROUND(BidScale!E88+0.1,4)&gt;=Lower,ROUND(BidScale!E88+0.1,4)&lt;=Upper),ROUND(BidScale!E88+0.1,4),""),"")</f>
        <v>92.6</v>
      </c>
      <c r="K88" s="9">
        <f>IF(ISNUMBER(BidScale!F88),IF(AND(BidScale!F88&gt;Lower,BidScale!F88&lt;Upper,ROUND(BidScale!F88,4)&gt;=Lower,ROUND(BidScale!F88,4)&lt;=Upper),ROUND(BidScale!F88,4),""),"")</f>
        <v>102.5</v>
      </c>
      <c r="L88" s="10">
        <f>IF(ISNUMBER(BidScale!F88),IF(AND(BidScale!F88&gt;Lower,BidScale!F88&lt;Upper,ROUND(BidScale!F88+0.1,4)&gt;=Lower,ROUND(BidScale!F88+0.1,4)&lt;=Upper),ROUND(BidScale!F88+0.1,4),""),"")</f>
        <v>102.6</v>
      </c>
    </row>
    <row r="89" spans="1:12">
      <c r="A89" s="7">
        <f>IF(ISNUMBER(BidScale!A89),IF(AND(BidScale!A89&gt;Lower,BidScale!A89&lt;Upper,ROUND(BidScale!A89-0.1,4)&gt;=Lower,ROUND(BidScale!A89-0.1,4)&lt;=Upper),ROUND(BidScale!A89-0.1,4),""),"")</f>
        <v>44.9</v>
      </c>
      <c r="B89" s="8">
        <f>IF(ISNUMBER(BidScale!A89),IF(AND(BidScale!A89&gt;Lower,BidScale!A89&lt;Upper,ROUND(BidScale!A89,4)&gt;=Lower,ROUND(BidScale!A89,4)&lt;=Upper),ROUND(BidScale!A89,4),""),"")</f>
        <v>45</v>
      </c>
      <c r="C89" s="7">
        <f>IF(ISNUMBER(BidScale!B89),IF(AND(BidScale!B89&gt;Lower,BidScale!B89&lt;Upper,ROUND(BidScale!B89-0.1,4)&gt;=Lower,ROUND(BidScale!B89-0.1,4)&lt;=Upper),ROUND(BidScale!B89-0.1,4),""),"")</f>
        <v>54.9</v>
      </c>
      <c r="D89" s="8">
        <f>IF(ISNUMBER(BidScale!B89),IF(AND(BidScale!B89&gt;Lower,BidScale!B89&lt;Upper,ROUND(BidScale!B89,4)&gt;=Lower,ROUND(BidScale!B89,4)&lt;=Upper),ROUND(BidScale!B89,4),""),"")</f>
        <v>55</v>
      </c>
      <c r="E89" s="7">
        <f>IF(ISNUMBER(BidScale!C89),IF(AND(BidScale!C89&gt;Lower,BidScale!C89&lt;Upper,ROUND(BidScale!C89-0.1,4)&gt;=Lower,ROUND(BidScale!C89-0.1,4)&lt;=Upper),ROUND(BidScale!C89-0.1,4),""),"")</f>
        <v>64.900000000000006</v>
      </c>
      <c r="F89" s="8">
        <f>IF(ISNUMBER(BidScale!C89),IF(AND(BidScale!C89&gt;Lower,BidScale!C89&lt;Upper,ROUND(BidScale!C89,4)&gt;=Lower,ROUND(BidScale!C89,4)&lt;=Upper),ROUND(BidScale!C89,4),""),"")</f>
        <v>65</v>
      </c>
      <c r="G89" s="9">
        <f>IF(ISNUMBER(BidScale!D89),IF(AND(BidScale!D89&gt;Lower,BidScale!D89&lt;Upper,ROUND(BidScale!D89,4)&gt;=Lower,ROUND(BidScale!D89,4)&lt;=Upper),ROUND(BidScale!D89,4),""),"")</f>
        <v>75</v>
      </c>
      <c r="H89" s="10">
        <f>IF(ISNUMBER(BidScale!D89),IF(AND(BidScale!D89&gt;Lower,BidScale!D89&lt;Upper,ROUND(BidScale!D89+0.1,4)&gt;=Lower,ROUND(BidScale!D89+0.1,4)&lt;=Upper),ROUND(BidScale!D89+0.1,4),""),"")</f>
        <v>75.099999999999994</v>
      </c>
      <c r="I89" s="9">
        <f>IF(ISNUMBER(BidScale!E89),IF(AND(BidScale!E89&gt;Lower,BidScale!E89&lt;Upper,ROUND(BidScale!E89,4)&gt;=Lower,ROUND(BidScale!E89,4)&lt;=Upper),ROUND(BidScale!E89,4),""),"")</f>
        <v>85</v>
      </c>
      <c r="J89" s="10">
        <f>IF(ISNUMBER(BidScale!E89),IF(AND(BidScale!E89&gt;Lower,BidScale!E89&lt;Upper,ROUND(BidScale!E89+0.1,4)&gt;=Lower,ROUND(BidScale!E89+0.1,4)&lt;=Upper),ROUND(BidScale!E89+0.1,4),""),"")</f>
        <v>85.1</v>
      </c>
      <c r="K89" s="9">
        <f>IF(ISNUMBER(BidScale!F89),IF(AND(BidScale!F89&gt;Lower,BidScale!F89&lt;Upper,ROUND(BidScale!F89,4)&gt;=Lower,ROUND(BidScale!F89,4)&lt;=Upper),ROUND(BidScale!F89,4),""),"")</f>
        <v>95</v>
      </c>
      <c r="L89" s="10">
        <f>IF(ISNUMBER(BidScale!F89),IF(AND(BidScale!F89&gt;Lower,BidScale!F89&lt;Upper,ROUND(BidScale!F89+0.1,4)&gt;=Lower,ROUND(BidScale!F89+0.1,4)&lt;=Upper),ROUND(BidScale!F89+0.1,4),""),"")</f>
        <v>95.1</v>
      </c>
    </row>
    <row r="90" spans="1:12">
      <c r="A90" s="7">
        <f>IF(ISNUMBER(BidScale!A90),IF(AND(BidScale!A90&gt;Lower,BidScale!A90&lt;Upper,ROUND(BidScale!A90-0.1,4)&gt;=Lower,ROUND(BidScale!A90-0.1,4)&lt;=Upper),ROUND(BidScale!A90-0.1,4),""),"")</f>
        <v>44.9</v>
      </c>
      <c r="B90" s="8">
        <f>IF(ISNUMBER(BidScale!A90),IF(AND(BidScale!A90&gt;Lower,BidScale!A90&lt;Upper,ROUND(BidScale!A90,4)&gt;=Lower,ROUND(BidScale!A90,4)&lt;=Upper),ROUND(BidScale!A90,4),""),"")</f>
        <v>45</v>
      </c>
      <c r="C90" s="7">
        <f>IF(ISNUMBER(BidScale!B90),IF(AND(BidScale!B90&gt;Lower,BidScale!B90&lt;Upper,ROUND(BidScale!B90-0.1,4)&gt;=Lower,ROUND(BidScale!B90-0.1,4)&lt;=Upper),ROUND(BidScale!B90-0.1,4),""),"")</f>
        <v>54.9</v>
      </c>
      <c r="D90" s="8">
        <f>IF(ISNUMBER(BidScale!B90),IF(AND(BidScale!B90&gt;Lower,BidScale!B90&lt;Upper,ROUND(BidScale!B90,4)&gt;=Lower,ROUND(BidScale!B90,4)&lt;=Upper),ROUND(BidScale!B90,4),""),"")</f>
        <v>55</v>
      </c>
      <c r="E90" s="7">
        <f>IF(ISNUMBER(BidScale!C90),IF(AND(BidScale!C90&gt;Lower,BidScale!C90&lt;Upper,ROUND(BidScale!C90-0.1,4)&gt;=Lower,ROUND(BidScale!C90-0.1,4)&lt;=Upper),ROUND(BidScale!C90-0.1,4),""),"")</f>
        <v>64.900000000000006</v>
      </c>
      <c r="F90" s="8">
        <f>IF(ISNUMBER(BidScale!C90),IF(AND(BidScale!C90&gt;Lower,BidScale!C90&lt;Upper,ROUND(BidScale!C90,4)&gt;=Lower,ROUND(BidScale!C90,4)&lt;=Upper),ROUND(BidScale!C90,4),""),"")</f>
        <v>65</v>
      </c>
      <c r="G90" s="9">
        <f>IF(ISNUMBER(BidScale!D90),IF(AND(BidScale!D90&gt;Lower,BidScale!D90&lt;Upper,ROUND(BidScale!D90,4)&gt;=Lower,ROUND(BidScale!D90,4)&lt;=Upper),ROUND(BidScale!D90,4),""),"")</f>
        <v>75</v>
      </c>
      <c r="H90" s="10">
        <f>IF(ISNUMBER(BidScale!D90),IF(AND(BidScale!D90&gt;Lower,BidScale!D90&lt;Upper,ROUND(BidScale!D90+0.1,4)&gt;=Lower,ROUND(BidScale!D90+0.1,4)&lt;=Upper),ROUND(BidScale!D90+0.1,4),""),"")</f>
        <v>75.099999999999994</v>
      </c>
      <c r="I90" s="9">
        <f>IF(ISNUMBER(BidScale!E90),IF(AND(BidScale!E90&gt;Lower,BidScale!E90&lt;Upper,ROUND(BidScale!E90,4)&gt;=Lower,ROUND(BidScale!E90,4)&lt;=Upper),ROUND(BidScale!E90,4),""),"")</f>
        <v>85</v>
      </c>
      <c r="J90" s="10">
        <f>IF(ISNUMBER(BidScale!E90),IF(AND(BidScale!E90&gt;Lower,BidScale!E90&lt;Upper,ROUND(BidScale!E90+0.1,4)&gt;=Lower,ROUND(BidScale!E90+0.1,4)&lt;=Upper),ROUND(BidScale!E90+0.1,4),""),"")</f>
        <v>85.1</v>
      </c>
      <c r="K90" s="9">
        <f>IF(ISNUMBER(BidScale!F90),IF(AND(BidScale!F90&gt;Lower,BidScale!F90&lt;Upper,ROUND(BidScale!F90,4)&gt;=Lower,ROUND(BidScale!F90,4)&lt;=Upper),ROUND(BidScale!F90,4),""),"")</f>
        <v>95</v>
      </c>
      <c r="L90" s="10">
        <f>IF(ISNUMBER(BidScale!F90),IF(AND(BidScale!F90&gt;Lower,BidScale!F90&lt;Upper,ROUND(BidScale!F90+0.1,4)&gt;=Lower,ROUND(BidScale!F90+0.1,4)&lt;=Upper),ROUND(BidScale!F90+0.1,4),""),"")</f>
        <v>95.1</v>
      </c>
    </row>
    <row r="91" spans="1:12">
      <c r="A91" s="7">
        <f>IF(ISNUMBER(BidScale!A91),IF(AND(BidScale!A91&gt;Lower,BidScale!A91&lt;Upper,ROUND(BidScale!A91-0.1,4)&gt;=Lower,ROUND(BidScale!A91-0.1,4)&lt;=Upper),ROUND(BidScale!A91-0.1,4),""),"")</f>
        <v>44.9</v>
      </c>
      <c r="B91" s="8">
        <f>IF(ISNUMBER(BidScale!A91),IF(AND(BidScale!A91&gt;Lower,BidScale!A91&lt;Upper,ROUND(BidScale!A91,4)&gt;=Lower,ROUND(BidScale!A91,4)&lt;=Upper),ROUND(BidScale!A91,4),""),"")</f>
        <v>45</v>
      </c>
      <c r="C91" s="7">
        <f>IF(ISNUMBER(BidScale!B91),IF(AND(BidScale!B91&gt;Lower,BidScale!B91&lt;Upper,ROUND(BidScale!B91-0.1,4)&gt;=Lower,ROUND(BidScale!B91-0.1,4)&lt;=Upper),ROUND(BidScale!B91-0.1,4),""),"")</f>
        <v>54.9</v>
      </c>
      <c r="D91" s="8">
        <f>IF(ISNUMBER(BidScale!B91),IF(AND(BidScale!B91&gt;Lower,BidScale!B91&lt;Upper,ROUND(BidScale!B91,4)&gt;=Lower,ROUND(BidScale!B91,4)&lt;=Upper),ROUND(BidScale!B91,4),""),"")</f>
        <v>55</v>
      </c>
      <c r="E91" s="7">
        <f>IF(ISNUMBER(BidScale!C91),IF(AND(BidScale!C91&gt;Lower,BidScale!C91&lt;Upper,ROUND(BidScale!C91-0.1,4)&gt;=Lower,ROUND(BidScale!C91-0.1,4)&lt;=Upper),ROUND(BidScale!C91-0.1,4),""),"")</f>
        <v>64.900000000000006</v>
      </c>
      <c r="F91" s="8">
        <f>IF(ISNUMBER(BidScale!C91),IF(AND(BidScale!C91&gt;Lower,BidScale!C91&lt;Upper,ROUND(BidScale!C91,4)&gt;=Lower,ROUND(BidScale!C91,4)&lt;=Upper),ROUND(BidScale!C91,4),""),"")</f>
        <v>65</v>
      </c>
      <c r="G91" s="9">
        <f>IF(ISNUMBER(BidScale!D91),IF(AND(BidScale!D91&gt;Lower,BidScale!D91&lt;Upper,ROUND(BidScale!D91,4)&gt;=Lower,ROUND(BidScale!D91,4)&lt;=Upper),ROUND(BidScale!D91,4),""),"")</f>
        <v>75</v>
      </c>
      <c r="H91" s="10">
        <f>IF(ISNUMBER(BidScale!D91),IF(AND(BidScale!D91&gt;Lower,BidScale!D91&lt;Upper,ROUND(BidScale!D91+0.1,4)&gt;=Lower,ROUND(BidScale!D91+0.1,4)&lt;=Upper),ROUND(BidScale!D91+0.1,4),""),"")</f>
        <v>75.099999999999994</v>
      </c>
      <c r="I91" s="9">
        <f>IF(ISNUMBER(BidScale!E91),IF(AND(BidScale!E91&gt;Lower,BidScale!E91&lt;Upper,ROUND(BidScale!E91,4)&gt;=Lower,ROUND(BidScale!E91,4)&lt;=Upper),ROUND(BidScale!E91,4),""),"")</f>
        <v>85</v>
      </c>
      <c r="J91" s="10">
        <f>IF(ISNUMBER(BidScale!E91),IF(AND(BidScale!E91&gt;Lower,BidScale!E91&lt;Upper,ROUND(BidScale!E91+0.1,4)&gt;=Lower,ROUND(BidScale!E91+0.1,4)&lt;=Upper),ROUND(BidScale!E91+0.1,4),""),"")</f>
        <v>85.1</v>
      </c>
      <c r="K91" s="9">
        <f>IF(ISNUMBER(BidScale!F91),IF(AND(BidScale!F91&gt;Lower,BidScale!F91&lt;Upper,ROUND(BidScale!F91,4)&gt;=Lower,ROUND(BidScale!F91,4)&lt;=Upper),ROUND(BidScale!F91,4),""),"")</f>
        <v>95</v>
      </c>
      <c r="L91" s="10">
        <f>IF(ISNUMBER(BidScale!F91),IF(AND(BidScale!F91&gt;Lower,BidScale!F91&lt;Upper,ROUND(BidScale!F91+0.1,4)&gt;=Lower,ROUND(BidScale!F91+0.1,4)&lt;=Upper),ROUND(BidScale!F91+0.1,4),""),"")</f>
        <v>95.1</v>
      </c>
    </row>
    <row r="92" spans="1:12">
      <c r="A92" s="7">
        <f>IF(ISNUMBER(BidScale!A92),IF(AND(BidScale!A92&gt;Lower,BidScale!A92&lt;Upper,ROUND(BidScale!A92-0.1,4)&gt;=Lower,ROUND(BidScale!A92-0.1,4)&lt;=Upper),ROUND(BidScale!A92-0.1,4),""),"")</f>
        <v>39.9</v>
      </c>
      <c r="B92" s="8">
        <f>IF(ISNUMBER(BidScale!A92),IF(AND(BidScale!A92&gt;Lower,BidScale!A92&lt;Upper,ROUND(BidScale!A92,4)&gt;=Lower,ROUND(BidScale!A92,4)&lt;=Upper),ROUND(BidScale!A92,4),""),"")</f>
        <v>40</v>
      </c>
      <c r="C92" s="7">
        <f>IF(ISNUMBER(BidScale!B92),IF(AND(BidScale!B92&gt;Lower,BidScale!B92&lt;Upper,ROUND(BidScale!B92-0.1,4)&gt;=Lower,ROUND(BidScale!B92-0.1,4)&lt;=Upper),ROUND(BidScale!B92-0.1,4),""),"")</f>
        <v>49.9</v>
      </c>
      <c r="D92" s="8">
        <f>IF(ISNUMBER(BidScale!B92),IF(AND(BidScale!B92&gt;Lower,BidScale!B92&lt;Upper,ROUND(BidScale!B92,4)&gt;=Lower,ROUND(BidScale!B92,4)&lt;=Upper),ROUND(BidScale!B92,4),""),"")</f>
        <v>50</v>
      </c>
      <c r="E92" s="7">
        <f>IF(ISNUMBER(BidScale!C92),IF(AND(BidScale!C92&gt;Lower,BidScale!C92&lt;Upper,ROUND(BidScale!C92-0.1,4)&gt;=Lower,ROUND(BidScale!C92-0.1,4)&lt;=Upper),ROUND(BidScale!C92-0.1,4),""),"")</f>
        <v>59.9</v>
      </c>
      <c r="F92" s="8">
        <f>IF(ISNUMBER(BidScale!C92),IF(AND(BidScale!C92&gt;Lower,BidScale!C92&lt;Upper,ROUND(BidScale!C92,4)&gt;=Lower,ROUND(BidScale!C92,4)&lt;=Upper),ROUND(BidScale!C92,4),""),"")</f>
        <v>60</v>
      </c>
      <c r="G92" s="9">
        <f>IF(ISNUMBER(BidScale!D92),IF(AND(BidScale!D92&gt;Lower,BidScale!D92&lt;Upper,ROUND(BidScale!D92,4)&gt;=Lower,ROUND(BidScale!D92,4)&lt;=Upper),ROUND(BidScale!D92,4),""),"")</f>
        <v>70</v>
      </c>
      <c r="H92" s="10">
        <f>IF(ISNUMBER(BidScale!D92),IF(AND(BidScale!D92&gt;Lower,BidScale!D92&lt;Upper,ROUND(BidScale!D92+0.1,4)&gt;=Lower,ROUND(BidScale!D92+0.1,4)&lt;=Upper),ROUND(BidScale!D92+0.1,4),""),"")</f>
        <v>70.099999999999994</v>
      </c>
      <c r="I92" s="9">
        <f>IF(ISNUMBER(BidScale!E92),IF(AND(BidScale!E92&gt;Lower,BidScale!E92&lt;Upper,ROUND(BidScale!E92,4)&gt;=Lower,ROUND(BidScale!E92,4)&lt;=Upper),ROUND(BidScale!E92,4),""),"")</f>
        <v>80</v>
      </c>
      <c r="J92" s="10">
        <f>IF(ISNUMBER(BidScale!E92),IF(AND(BidScale!E92&gt;Lower,BidScale!E92&lt;Upper,ROUND(BidScale!E92+0.1,4)&gt;=Lower,ROUND(BidScale!E92+0.1,4)&lt;=Upper),ROUND(BidScale!E92+0.1,4),""),"")</f>
        <v>80.099999999999994</v>
      </c>
      <c r="K92" s="9">
        <f>IF(ISNUMBER(BidScale!F92),IF(AND(BidScale!F92&gt;Lower,BidScale!F92&lt;Upper,ROUND(BidScale!F92,4)&gt;=Lower,ROUND(BidScale!F92,4)&lt;=Upper),ROUND(BidScale!F92,4),""),"")</f>
        <v>90</v>
      </c>
      <c r="L92" s="10">
        <f>IF(ISNUMBER(BidScale!F92),IF(AND(BidScale!F92&gt;Lower,BidScale!F92&lt;Upper,ROUND(BidScale!F92+0.1,4)&gt;=Lower,ROUND(BidScale!F92+0.1,4)&lt;=Upper),ROUND(BidScale!F92+0.1,4),""),"")</f>
        <v>90.1</v>
      </c>
    </row>
    <row r="93" spans="1:12">
      <c r="A93" s="7">
        <f>IF(ISNUMBER(BidScale!A93),IF(AND(BidScale!A93&gt;Lower,BidScale!A93&lt;Upper,ROUND(BidScale!A93-0.1,4)&gt;=Lower,ROUND(BidScale!A93-0.1,4)&lt;=Upper),ROUND(BidScale!A93-0.1,4),""),"")</f>
        <v>34.9</v>
      </c>
      <c r="B93" s="8">
        <f>IF(ISNUMBER(BidScale!A93),IF(AND(BidScale!A93&gt;Lower,BidScale!A93&lt;Upper,ROUND(BidScale!A93,4)&gt;=Lower,ROUND(BidScale!A93,4)&lt;=Upper),ROUND(BidScale!A93,4),""),"")</f>
        <v>35</v>
      </c>
      <c r="C93" s="7">
        <f>IF(ISNUMBER(BidScale!B93),IF(AND(BidScale!B93&gt;Lower,BidScale!B93&lt;Upper,ROUND(BidScale!B93-0.1,4)&gt;=Lower,ROUND(BidScale!B93-0.1,4)&lt;=Upper),ROUND(BidScale!B93-0.1,4),""),"")</f>
        <v>44.9</v>
      </c>
      <c r="D93" s="8">
        <f>IF(ISNUMBER(BidScale!B93),IF(AND(BidScale!B93&gt;Lower,BidScale!B93&lt;Upper,ROUND(BidScale!B93,4)&gt;=Lower,ROUND(BidScale!B93,4)&lt;=Upper),ROUND(BidScale!B93,4),""),"")</f>
        <v>45</v>
      </c>
      <c r="E93" s="7">
        <f>IF(ISNUMBER(BidScale!C93),IF(AND(BidScale!C93&gt;Lower,BidScale!C93&lt;Upper,ROUND(BidScale!C93-0.1,4)&gt;=Lower,ROUND(BidScale!C93-0.1,4)&lt;=Upper),ROUND(BidScale!C93-0.1,4),""),"")</f>
        <v>54.9</v>
      </c>
      <c r="F93" s="8">
        <f>IF(ISNUMBER(BidScale!C93),IF(AND(BidScale!C93&gt;Lower,BidScale!C93&lt;Upper,ROUND(BidScale!C93,4)&gt;=Lower,ROUND(BidScale!C93,4)&lt;=Upper),ROUND(BidScale!C93,4),""),"")</f>
        <v>55</v>
      </c>
      <c r="G93" s="9">
        <f>IF(ISNUMBER(BidScale!D93),IF(AND(BidScale!D93&gt;Lower,BidScale!D93&lt;Upper,ROUND(BidScale!D93,4)&gt;=Lower,ROUND(BidScale!D93,4)&lt;=Upper),ROUND(BidScale!D93,4),""),"")</f>
        <v>65</v>
      </c>
      <c r="H93" s="10">
        <f>IF(ISNUMBER(BidScale!D93),IF(AND(BidScale!D93&gt;Lower,BidScale!D93&lt;Upper,ROUND(BidScale!D93+0.1,4)&gt;=Lower,ROUND(BidScale!D93+0.1,4)&lt;=Upper),ROUND(BidScale!D93+0.1,4),""),"")</f>
        <v>65.099999999999994</v>
      </c>
      <c r="I93" s="9">
        <f>IF(ISNUMBER(BidScale!E93),IF(AND(BidScale!E93&gt;Lower,BidScale!E93&lt;Upper,ROUND(BidScale!E93,4)&gt;=Lower,ROUND(BidScale!E93,4)&lt;=Upper),ROUND(BidScale!E93,4),""),"")</f>
        <v>75</v>
      </c>
      <c r="J93" s="10">
        <f>IF(ISNUMBER(BidScale!E93),IF(AND(BidScale!E93&gt;Lower,BidScale!E93&lt;Upper,ROUND(BidScale!E93+0.1,4)&gt;=Lower,ROUND(BidScale!E93+0.1,4)&lt;=Upper),ROUND(BidScale!E93+0.1,4),""),"")</f>
        <v>75.099999999999994</v>
      </c>
      <c r="K93" s="9">
        <f>IF(ISNUMBER(BidScale!F93),IF(AND(BidScale!F93&gt;Lower,BidScale!F93&lt;Upper,ROUND(BidScale!F93,4)&gt;=Lower,ROUND(BidScale!F93,4)&lt;=Upper),ROUND(BidScale!F93,4),""),"")</f>
        <v>85</v>
      </c>
      <c r="L93" s="10">
        <f>IF(ISNUMBER(BidScale!F93),IF(AND(BidScale!F93&gt;Lower,BidScale!F93&lt;Upper,ROUND(BidScale!F93+0.1,4)&gt;=Lower,ROUND(BidScale!F93+0.1,4)&lt;=Upper),ROUND(BidScale!F93+0.1,4),""),"")</f>
        <v>85.1</v>
      </c>
    </row>
    <row r="94" spans="1:12">
      <c r="A94" s="7">
        <f>IF(ISNUMBER(BidScale!A94),IF(AND(BidScale!A94&gt;Lower,BidScale!A94&lt;Upper,ROUND(BidScale!A94-0.1,4)&gt;=Lower,ROUND(BidScale!A94-0.1,4)&lt;=Upper),ROUND(BidScale!A94-0.1,4),""),"")</f>
        <v>34.9</v>
      </c>
      <c r="B94" s="8">
        <f>IF(ISNUMBER(BidScale!A94),IF(AND(BidScale!A94&gt;Lower,BidScale!A94&lt;Upper,ROUND(BidScale!A94,4)&gt;=Lower,ROUND(BidScale!A94,4)&lt;=Upper),ROUND(BidScale!A94,4),""),"")</f>
        <v>35</v>
      </c>
      <c r="C94" s="7">
        <f>IF(ISNUMBER(BidScale!B94),IF(AND(BidScale!B94&gt;Lower,BidScale!B94&lt;Upper,ROUND(BidScale!B94-0.1,4)&gt;=Lower,ROUND(BidScale!B94-0.1,4)&lt;=Upper),ROUND(BidScale!B94-0.1,4),""),"")</f>
        <v>44.9</v>
      </c>
      <c r="D94" s="8">
        <f>IF(ISNUMBER(BidScale!B94),IF(AND(BidScale!B94&gt;Lower,BidScale!B94&lt;Upper,ROUND(BidScale!B94,4)&gt;=Lower,ROUND(BidScale!B94,4)&lt;=Upper),ROUND(BidScale!B94,4),""),"")</f>
        <v>45</v>
      </c>
      <c r="E94" s="7">
        <f>IF(ISNUMBER(BidScale!C94),IF(AND(BidScale!C94&gt;Lower,BidScale!C94&lt;Upper,ROUND(BidScale!C94-0.1,4)&gt;=Lower,ROUND(BidScale!C94-0.1,4)&lt;=Upper),ROUND(BidScale!C94-0.1,4),""),"")</f>
        <v>54.9</v>
      </c>
      <c r="F94" s="8">
        <f>IF(ISNUMBER(BidScale!C94),IF(AND(BidScale!C94&gt;Lower,BidScale!C94&lt;Upper,ROUND(BidScale!C94,4)&gt;=Lower,ROUND(BidScale!C94,4)&lt;=Upper),ROUND(BidScale!C94,4),""),"")</f>
        <v>55</v>
      </c>
      <c r="G94" s="9">
        <f>IF(ISNUMBER(BidScale!D94),IF(AND(BidScale!D94&gt;Lower,BidScale!D94&lt;Upper,ROUND(BidScale!D94,4)&gt;=Lower,ROUND(BidScale!D94,4)&lt;=Upper),ROUND(BidScale!D94,4),""),"")</f>
        <v>65</v>
      </c>
      <c r="H94" s="10">
        <f>IF(ISNUMBER(BidScale!D94),IF(AND(BidScale!D94&gt;Lower,BidScale!D94&lt;Upper,ROUND(BidScale!D94+0.1,4)&gt;=Lower,ROUND(BidScale!D94+0.1,4)&lt;=Upper),ROUND(BidScale!D94+0.1,4),""),"")</f>
        <v>65.099999999999994</v>
      </c>
      <c r="I94" s="9">
        <f>IF(ISNUMBER(BidScale!E94),IF(AND(BidScale!E94&gt;Lower,BidScale!E94&lt;Upper,ROUND(BidScale!E94,4)&gt;=Lower,ROUND(BidScale!E94,4)&lt;=Upper),ROUND(BidScale!E94,4),""),"")</f>
        <v>75</v>
      </c>
      <c r="J94" s="10">
        <f>IF(ISNUMBER(BidScale!E94),IF(AND(BidScale!E94&gt;Lower,BidScale!E94&lt;Upper,ROUND(BidScale!E94+0.1,4)&gt;=Lower,ROUND(BidScale!E94+0.1,4)&lt;=Upper),ROUND(BidScale!E94+0.1,4),""),"")</f>
        <v>75.099999999999994</v>
      </c>
      <c r="K94" s="9">
        <f>IF(ISNUMBER(BidScale!F94),IF(AND(BidScale!F94&gt;Lower,BidScale!F94&lt;Upper,ROUND(BidScale!F94,4)&gt;=Lower,ROUND(BidScale!F94,4)&lt;=Upper),ROUND(BidScale!F94,4),""),"")</f>
        <v>85</v>
      </c>
      <c r="L94" s="10">
        <f>IF(ISNUMBER(BidScale!F94),IF(AND(BidScale!F94&gt;Lower,BidScale!F94&lt;Upper,ROUND(BidScale!F94+0.1,4)&gt;=Lower,ROUND(BidScale!F94+0.1,4)&lt;=Upper),ROUND(BidScale!F94+0.1,4),""),"")</f>
        <v>85.1</v>
      </c>
    </row>
    <row r="95" spans="1:12">
      <c r="A95" s="7">
        <f>IF(ISNUMBER(BidScale!A95),IF(AND(BidScale!A95&gt;Lower,BidScale!A95&lt;Upper,ROUND(BidScale!A95-0.1,4)&gt;=Lower,ROUND(BidScale!A95-0.1,4)&lt;=Upper),ROUND(BidScale!A95-0.1,4),""),"")</f>
        <v>37.4</v>
      </c>
      <c r="B95" s="8">
        <f>IF(ISNUMBER(BidScale!A95),IF(AND(BidScale!A95&gt;Lower,BidScale!A95&lt;Upper,ROUND(BidScale!A95,4)&gt;=Lower,ROUND(BidScale!A95,4)&lt;=Upper),ROUND(BidScale!A95,4),""),"")</f>
        <v>37.5</v>
      </c>
      <c r="C95" s="7">
        <f>IF(ISNUMBER(BidScale!B95),IF(AND(BidScale!B95&gt;Lower,BidScale!B95&lt;Upper,ROUND(BidScale!B95-0.1,4)&gt;=Lower,ROUND(BidScale!B95-0.1,4)&lt;=Upper),ROUND(BidScale!B95-0.1,4),""),"")</f>
        <v>47.4</v>
      </c>
      <c r="D95" s="8">
        <f>IF(ISNUMBER(BidScale!B95),IF(AND(BidScale!B95&gt;Lower,BidScale!B95&lt;Upper,ROUND(BidScale!B95,4)&gt;=Lower,ROUND(BidScale!B95,4)&lt;=Upper),ROUND(BidScale!B95,4),""),"")</f>
        <v>47.5</v>
      </c>
      <c r="E95" s="7">
        <f>IF(ISNUMBER(BidScale!C95),IF(AND(BidScale!C95&gt;Lower,BidScale!C95&lt;Upper,ROUND(BidScale!C95-0.1,4)&gt;=Lower,ROUND(BidScale!C95-0.1,4)&lt;=Upper),ROUND(BidScale!C95-0.1,4),""),"")</f>
        <v>57.4</v>
      </c>
      <c r="F95" s="8">
        <f>IF(ISNUMBER(BidScale!C95),IF(AND(BidScale!C95&gt;Lower,BidScale!C95&lt;Upper,ROUND(BidScale!C95,4)&gt;=Lower,ROUND(BidScale!C95,4)&lt;=Upper),ROUND(BidScale!C95,4),""),"")</f>
        <v>57.5</v>
      </c>
      <c r="G95" s="9">
        <f>IF(ISNUMBER(BidScale!D95),IF(AND(BidScale!D95&gt;Lower,BidScale!D95&lt;Upper,ROUND(BidScale!D95,4)&gt;=Lower,ROUND(BidScale!D95,4)&lt;=Upper),ROUND(BidScale!D95,4),""),"")</f>
        <v>67.5</v>
      </c>
      <c r="H95" s="10">
        <f>IF(ISNUMBER(BidScale!D95),IF(AND(BidScale!D95&gt;Lower,BidScale!D95&lt;Upper,ROUND(BidScale!D95+0.1,4)&gt;=Lower,ROUND(BidScale!D95+0.1,4)&lt;=Upper),ROUND(BidScale!D95+0.1,4),""),"")</f>
        <v>67.599999999999994</v>
      </c>
      <c r="I95" s="9">
        <f>IF(ISNUMBER(BidScale!E95),IF(AND(BidScale!E95&gt;Lower,BidScale!E95&lt;Upper,ROUND(BidScale!E95,4)&gt;=Lower,ROUND(BidScale!E95,4)&lt;=Upper),ROUND(BidScale!E95,4),""),"")</f>
        <v>77.5</v>
      </c>
      <c r="J95" s="10">
        <f>IF(ISNUMBER(BidScale!E95),IF(AND(BidScale!E95&gt;Lower,BidScale!E95&lt;Upper,ROUND(BidScale!E95+0.1,4)&gt;=Lower,ROUND(BidScale!E95+0.1,4)&lt;=Upper),ROUND(BidScale!E95+0.1,4),""),"")</f>
        <v>77.599999999999994</v>
      </c>
      <c r="K95" s="9">
        <f>IF(ISNUMBER(BidScale!F95),IF(AND(BidScale!F95&gt;Lower,BidScale!F95&lt;Upper,ROUND(BidScale!F95,4)&gt;=Lower,ROUND(BidScale!F95,4)&lt;=Upper),ROUND(BidScale!F95,4),""),"")</f>
        <v>87.5</v>
      </c>
      <c r="L95" s="10">
        <f>IF(ISNUMBER(BidScale!F95),IF(AND(BidScale!F95&gt;Lower,BidScale!F95&lt;Upper,ROUND(BidScale!F95+0.1,4)&gt;=Lower,ROUND(BidScale!F95+0.1,4)&lt;=Upper),ROUND(BidScale!F95+0.1,4),""),"")</f>
        <v>87.6</v>
      </c>
    </row>
    <row r="96" spans="1:12">
      <c r="A96" s="7">
        <f>IF(ISNUMBER(BidScale!A96),IF(AND(BidScale!A96&gt;Lower,BidScale!A96&lt;Upper,ROUND(BidScale!A96-0.1,4)&gt;=Lower,ROUND(BidScale!A96-0.1,4)&lt;=Upper),ROUND(BidScale!A96-0.1,4),""),"")</f>
        <v>32.4</v>
      </c>
      <c r="B96" s="8">
        <f>IF(ISNUMBER(BidScale!A96),IF(AND(BidScale!A96&gt;Lower,BidScale!A96&lt;Upper,ROUND(BidScale!A96,4)&gt;=Lower,ROUND(BidScale!A96,4)&lt;=Upper),ROUND(BidScale!A96,4),""),"")</f>
        <v>32.5</v>
      </c>
      <c r="C96" s="7">
        <f>IF(ISNUMBER(BidScale!B96),IF(AND(BidScale!B96&gt;Lower,BidScale!B96&lt;Upper,ROUND(BidScale!B96-0.1,4)&gt;=Lower,ROUND(BidScale!B96-0.1,4)&lt;=Upper),ROUND(BidScale!B96-0.1,4),""),"")</f>
        <v>42.4</v>
      </c>
      <c r="D96" s="8">
        <f>IF(ISNUMBER(BidScale!B96),IF(AND(BidScale!B96&gt;Lower,BidScale!B96&lt;Upper,ROUND(BidScale!B96,4)&gt;=Lower,ROUND(BidScale!B96,4)&lt;=Upper),ROUND(BidScale!B96,4),""),"")</f>
        <v>42.5</v>
      </c>
      <c r="E96" s="7">
        <f>IF(ISNUMBER(BidScale!C96),IF(AND(BidScale!C96&gt;Lower,BidScale!C96&lt;Upper,ROUND(BidScale!C96-0.1,4)&gt;=Lower,ROUND(BidScale!C96-0.1,4)&lt;=Upper),ROUND(BidScale!C96-0.1,4),""),"")</f>
        <v>52.4</v>
      </c>
      <c r="F96" s="8">
        <f>IF(ISNUMBER(BidScale!C96),IF(AND(BidScale!C96&gt;Lower,BidScale!C96&lt;Upper,ROUND(BidScale!C96,4)&gt;=Lower,ROUND(BidScale!C96,4)&lt;=Upper),ROUND(BidScale!C96,4),""),"")</f>
        <v>52.5</v>
      </c>
      <c r="G96" s="9">
        <f>IF(ISNUMBER(BidScale!D96),IF(AND(BidScale!D96&gt;Lower,BidScale!D96&lt;Upper,ROUND(BidScale!D96,4)&gt;=Lower,ROUND(BidScale!D96,4)&lt;=Upper),ROUND(BidScale!D96,4),""),"")</f>
        <v>62.5</v>
      </c>
      <c r="H96" s="10">
        <f>IF(ISNUMBER(BidScale!D96),IF(AND(BidScale!D96&gt;Lower,BidScale!D96&lt;Upper,ROUND(BidScale!D96+0.1,4)&gt;=Lower,ROUND(BidScale!D96+0.1,4)&lt;=Upper),ROUND(BidScale!D96+0.1,4),""),"")</f>
        <v>62.6</v>
      </c>
      <c r="I96" s="9">
        <f>IF(ISNUMBER(BidScale!E96),IF(AND(BidScale!E96&gt;Lower,BidScale!E96&lt;Upper,ROUND(BidScale!E96,4)&gt;=Lower,ROUND(BidScale!E96,4)&lt;=Upper),ROUND(BidScale!E96,4),""),"")</f>
        <v>72.5</v>
      </c>
      <c r="J96" s="10">
        <f>IF(ISNUMBER(BidScale!E96),IF(AND(BidScale!E96&gt;Lower,BidScale!E96&lt;Upper,ROUND(BidScale!E96+0.1,4)&gt;=Lower,ROUND(BidScale!E96+0.1,4)&lt;=Upper),ROUND(BidScale!E96+0.1,4),""),"")</f>
        <v>72.599999999999994</v>
      </c>
      <c r="K96" s="9">
        <f>IF(ISNUMBER(BidScale!F96),IF(AND(BidScale!F96&gt;Lower,BidScale!F96&lt;Upper,ROUND(BidScale!F96,4)&gt;=Lower,ROUND(BidScale!F96,4)&lt;=Upper),ROUND(BidScale!F96,4),""),"")</f>
        <v>82.5</v>
      </c>
      <c r="L96" s="10">
        <f>IF(ISNUMBER(BidScale!F96),IF(AND(BidScale!F96&gt;Lower,BidScale!F96&lt;Upper,ROUND(BidScale!F96+0.1,4)&gt;=Lower,ROUND(BidScale!F96+0.1,4)&lt;=Upper),ROUND(BidScale!F96+0.1,4),""),"")</f>
        <v>82.6</v>
      </c>
    </row>
    <row r="97" spans="1:12" ht="15.75" thickBot="1">
      <c r="A97" s="11">
        <f>IF(ISNUMBER(BidScale!A97),IF(AND(BidScale!A97&gt;Lower,BidScale!A97&lt;Upper,ROUND(BidScale!A97-0.1,4)&gt;=Lower,ROUND(BidScale!A97-0.1,4)&lt;=Upper),ROUND(BidScale!A97-0.1,4),""),"")</f>
        <v>29.9</v>
      </c>
      <c r="B97" s="12">
        <f>IF(ISNUMBER(BidScale!A97),IF(AND(BidScale!A97&gt;Lower,BidScale!A97&lt;Upper,ROUND(BidScale!A97,4)&gt;=Lower,ROUND(BidScale!A97,4)&lt;=Upper),ROUND(BidScale!A97,4),""),"")</f>
        <v>30</v>
      </c>
      <c r="C97" s="11">
        <f>IF(ISNUMBER(BidScale!B97),IF(AND(BidScale!B97&gt;Lower,BidScale!B97&lt;Upper,ROUND(BidScale!B97-0.1,4)&gt;=Lower,ROUND(BidScale!B97-0.1,4)&lt;=Upper),ROUND(BidScale!B97-0.1,4),""),"")</f>
        <v>39.9</v>
      </c>
      <c r="D97" s="12">
        <f>IF(ISNUMBER(BidScale!B97),IF(AND(BidScale!B97&gt;Lower,BidScale!B97&lt;Upper,ROUND(BidScale!B97,4)&gt;=Lower,ROUND(BidScale!B97,4)&lt;=Upper),ROUND(BidScale!B97,4),""),"")</f>
        <v>40</v>
      </c>
      <c r="E97" s="11">
        <f>IF(ISNUMBER(BidScale!C97),IF(AND(BidScale!C97&gt;Lower,BidScale!C97&lt;Upper,ROUND(BidScale!C97-0.1,4)&gt;=Lower,ROUND(BidScale!C97-0.1,4)&lt;=Upper),ROUND(BidScale!C97-0.1,4),""),"")</f>
        <v>49.9</v>
      </c>
      <c r="F97" s="12">
        <f>IF(ISNUMBER(BidScale!C97),IF(AND(BidScale!C97&gt;Lower,BidScale!C97&lt;Upper,ROUND(BidScale!C97,4)&gt;=Lower,ROUND(BidScale!C97,4)&lt;=Upper),ROUND(BidScale!C97,4),""),"")</f>
        <v>50</v>
      </c>
      <c r="G97" s="13">
        <f>IF(ISNUMBER(BidScale!D97),IF(AND(BidScale!D97&gt;Lower,BidScale!D97&lt;Upper,ROUND(BidScale!D97,4)&gt;=Lower,ROUND(BidScale!D97,4)&lt;=Upper),ROUND(BidScale!D97,4),""),"")</f>
        <v>60</v>
      </c>
      <c r="H97" s="14">
        <f>IF(ISNUMBER(BidScale!D97),IF(AND(BidScale!D97&gt;Lower,BidScale!D97&lt;Upper,ROUND(BidScale!D97+0.1,4)&gt;=Lower,ROUND(BidScale!D97+0.1,4)&lt;=Upper),ROUND(BidScale!D97+0.1,4),""),"")</f>
        <v>60.1</v>
      </c>
      <c r="I97" s="13">
        <f>IF(ISNUMBER(BidScale!E97),IF(AND(BidScale!E97&gt;Lower,BidScale!E97&lt;Upper,ROUND(BidScale!E97,4)&gt;=Lower,ROUND(BidScale!E97,4)&lt;=Upper),ROUND(BidScale!E97,4),""),"")</f>
        <v>70</v>
      </c>
      <c r="J97" s="14">
        <f>IF(ISNUMBER(BidScale!E97),IF(AND(BidScale!E97&gt;Lower,BidScale!E97&lt;Upper,ROUND(BidScale!E97+0.1,4)&gt;=Lower,ROUND(BidScale!E97+0.1,4)&lt;=Upper),ROUND(BidScale!E97+0.1,4),""),"")</f>
        <v>70.099999999999994</v>
      </c>
      <c r="K97" s="13">
        <f>IF(ISNUMBER(BidScale!F97),IF(AND(BidScale!F97&gt;Lower,BidScale!F97&lt;Upper,ROUND(BidScale!F97,4)&gt;=Lower,ROUND(BidScale!F97,4)&lt;=Upper),ROUND(BidScale!F97,4),""),"")</f>
        <v>80</v>
      </c>
      <c r="L97" s="14">
        <f>IF(ISNUMBER(BidScale!F97),IF(AND(BidScale!F97&gt;Lower,BidScale!F97&lt;Upper,ROUND(BidScale!F97+0.1,4)&gt;=Lower,ROUND(BidScale!F97+0.1,4)&lt;=Upper),ROUND(BidScale!F97+0.1,4),""),"")</f>
        <v>80.099999999999994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BidScale</vt:lpstr>
      <vt:lpstr>Calc</vt:lpstr>
      <vt:lpstr>Cand</vt:lpstr>
      <vt:lpstr>Lower</vt:lpstr>
      <vt:lpstr>Upper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Deyan Ivanov</cp:lastModifiedBy>
  <dcterms:created xsi:type="dcterms:W3CDTF">2026-10-27T08:23:04Z</dcterms:created>
  <dcterms:modified xsi:type="dcterms:W3CDTF">2026-10-27T19:06:41Z</dcterms:modified>
</cp:coreProperties>
</file>